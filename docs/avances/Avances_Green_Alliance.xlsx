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sumen" sheetId="1" state="visible" r:id="rId1"/>
    <sheet xmlns:r="http://schemas.openxmlformats.org/officeDocument/2006/relationships" name="Pendientes" sheetId="2" state="visible" r:id="rId2"/>
    <sheet xmlns:r="http://schemas.openxmlformats.org/officeDocument/2006/relationships" name="Plan" sheetId="3" state="visible" r:id="rId3"/>
    <sheet xmlns:r="http://schemas.openxmlformats.org/officeDocument/2006/relationships" name="Gantt" sheetId="4" state="visible" r:id="rId4"/>
    <sheet xmlns:r="http://schemas.openxmlformats.org/officeDocument/2006/relationships" name="Cola" sheetId="5" state="visible" r:id="rId5"/>
    <sheet xmlns:r="http://schemas.openxmlformats.org/officeDocument/2006/relationships" name="Propuesta original" sheetId="6" state="visible" r:id="rId6"/>
    <sheet xmlns:r="http://schemas.openxmlformats.org/officeDocument/2006/relationships" name="Pesos" sheetId="7" state="visible" r:id="rId7"/>
    <sheet xmlns:r="http://schemas.openxmlformats.org/officeDocument/2006/relationships" name="Bitácora" sheetId="8" state="visible" r:id="rId8"/>
  </sheets>
  <definedNames>
    <definedName name="_xlnm._FilterDatabase" localSheetId="1" hidden="1">'Pendientes'!$A$4:$J$107</definedName>
    <definedName name="_xlnm._FilterDatabase" localSheetId="2" hidden="1">'Plan'!$A$4:$R$76</definedName>
  </definedNames>
  <calcPr calcId="124519" fullCalcOnLoad="1"/>
</workbook>
</file>

<file path=xl/styles.xml><?xml version="1.0" encoding="utf-8"?>
<styleSheet xmlns="http://schemas.openxmlformats.org/spreadsheetml/2006/main">
  <numFmts count="4">
    <numFmt numFmtId="164" formatCode="0.0%"/>
    <numFmt numFmtId="165" formatCode="0.0"/>
    <numFmt numFmtId="166" formatCode="$#,##0"/>
    <numFmt numFmtId="167" formatCode="&quot;S&quot;0"/>
  </numFmts>
  <fonts count="13">
    <font>
      <name val="Calibri"/>
      <family val="2"/>
      <color theme="1"/>
      <sz val="11"/>
      <scheme val="minor"/>
    </font>
    <font>
      <name val="Arial"/>
      <b val="1"/>
      <color rgb="001A3C57"/>
      <sz val="16"/>
    </font>
    <font>
      <name val="Arial"/>
      <i val="1"/>
      <color rgb="00555555"/>
      <sz val="10"/>
    </font>
    <font>
      <name val="Arial"/>
      <b val="1"/>
      <color rgb="00FFFFFF"/>
      <sz val="10"/>
    </font>
    <font>
      <name val="Arial"/>
      <b val="1"/>
      <sz val="10"/>
    </font>
    <font>
      <name val="Arial"/>
      <sz val="10"/>
    </font>
    <font>
      <name val="Arial"/>
      <color rgb="000000FF"/>
      <sz val="10"/>
    </font>
    <font>
      <name val="Arial"/>
      <color rgb="00008000"/>
      <sz val="10"/>
    </font>
    <font>
      <name val="Arial"/>
      <color rgb="00FFFFFF"/>
      <sz val="7"/>
    </font>
    <font>
      <name val="Arial"/>
      <color rgb="00FFFFFF"/>
      <sz val="6"/>
    </font>
    <font>
      <name val="Arial"/>
      <b val="1"/>
      <color rgb="001A3C57"/>
      <sz val="10"/>
    </font>
    <font>
      <name val="Arial"/>
      <b val="1"/>
      <color rgb="00008000"/>
      <sz val="10"/>
    </font>
    <font>
      <name val="Arial"/>
      <b val="1"/>
      <color rgb="00FFFFFF"/>
      <sz val="8"/>
    </font>
  </fonts>
  <fills count="6">
    <fill>
      <patternFill/>
    </fill>
    <fill>
      <patternFill patternType="gray125"/>
    </fill>
    <fill>
      <patternFill patternType="solid">
        <fgColor rgb="001A3C57"/>
      </patternFill>
    </fill>
    <fill>
      <patternFill patternType="solid">
        <fgColor rgb="00FFF6CC"/>
      </patternFill>
    </fill>
    <fill>
      <patternFill patternType="solid">
        <fgColor rgb="001E6652"/>
      </patternFill>
    </fill>
    <fill>
      <patternFill patternType="solid">
        <fgColor rgb="00E3EFEA"/>
      </patternFill>
    </fill>
  </fills>
  <borders count="5">
    <border>
      <left/>
      <right/>
      <top/>
      <bottom/>
      <diagonal/>
    </border>
    <border>
      <left style="thin">
        <color rgb="00D0D7D3"/>
      </left>
      <right style="thin">
        <color rgb="00D0D7D3"/>
      </right>
      <top style="thin">
        <color rgb="00D0D7D3"/>
      </top>
      <bottom style="thin">
        <color rgb="00D0D7D3"/>
      </bottom>
    </border>
    <border/>
    <border>
      <bottom style="thin">
        <color rgb="00D0D7D3"/>
      </bottom>
    </border>
    <border>
      <left style="hair">
        <color rgb="00E6E6E6"/>
      </left>
      <bottom style="hair">
        <color rgb="00E6E6E6"/>
      </bottom>
    </border>
  </borders>
  <cellStyleXfs count="1">
    <xf numFmtId="0" fontId="0" fillId="0" borderId="0"/>
  </cellStyleXfs>
  <cellXfs count="4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5" fillId="0" borderId="1" applyAlignment="1" pivotButton="0" quotePrefix="0" xfId="0">
      <alignment vertical="top"/>
    </xf>
    <xf numFmtId="0" fontId="6" fillId="3" borderId="1" applyAlignment="1" pivotButton="0" quotePrefix="0" xfId="0">
      <alignment horizontal="center" vertical="center"/>
    </xf>
    <xf numFmtId="0" fontId="2" fillId="0" borderId="1" applyAlignment="1" pivotButton="0" quotePrefix="0" xfId="0">
      <alignment vertical="center"/>
    </xf>
    <xf numFmtId="0" fontId="5" fillId="0" borderId="1" applyAlignment="1" pivotButton="0" quotePrefix="0" xfId="0">
      <alignment vertical="top" wrapText="1"/>
    </xf>
    <xf numFmtId="0" fontId="5" fillId="0" borderId="1" applyAlignment="1" pivotButton="0" quotePrefix="0" xfId="0">
      <alignment horizontal="center" vertical="center"/>
    </xf>
    <xf numFmtId="1" fontId="4" fillId="0" borderId="1" applyAlignment="1" pivotButton="0" quotePrefix="0" xfId="0">
      <alignment horizontal="center" vertical="center"/>
    </xf>
    <xf numFmtId="164" fontId="4" fillId="0" borderId="1" applyAlignment="1" pivotButton="0" quotePrefix="0" xfId="0">
      <alignment horizontal="center" vertical="center"/>
    </xf>
    <xf numFmtId="165" fontId="4" fillId="0" borderId="1" applyAlignment="1" pivotButton="0" quotePrefix="0" xfId="0">
      <alignment horizontal="center" vertical="center"/>
    </xf>
    <xf numFmtId="9" fontId="4" fillId="0" borderId="1" applyAlignment="1" pivotButton="0" quotePrefix="0" xfId="0">
      <alignment horizontal="center" vertical="center"/>
    </xf>
    <xf numFmtId="0" fontId="3" fillId="0" borderId="2" applyAlignment="1" pivotButton="0" quotePrefix="0" xfId="0">
      <alignment horizontal="center" vertical="center" wrapText="1"/>
    </xf>
    <xf numFmtId="0" fontId="3" fillId="2" borderId="1" applyAlignment="1" pivotButton="0" quotePrefix="0" xfId="0">
      <alignment horizontal="center" vertical="center" wrapText="1"/>
    </xf>
    <xf numFmtId="1" fontId="5" fillId="0" borderId="1" applyAlignment="1" pivotButton="0" quotePrefix="0" xfId="0">
      <alignment horizontal="center" vertical="center"/>
    </xf>
    <xf numFmtId="0" fontId="7" fillId="0" borderId="1" applyAlignment="1" pivotButton="0" quotePrefix="0" xfId="0">
      <alignment horizontal="center" vertical="center"/>
    </xf>
    <xf numFmtId="166" fontId="6" fillId="0" borderId="1" applyAlignment="1" pivotButton="0" quotePrefix="0" xfId="0">
      <alignment horizontal="center" vertical="center"/>
    </xf>
    <xf numFmtId="0" fontId="4" fillId="0" borderId="1" applyAlignment="1" pivotButton="0" quotePrefix="0" xfId="0">
      <alignment horizontal="center" vertical="center"/>
    </xf>
    <xf numFmtId="0" fontId="4" fillId="0" borderId="1" applyAlignment="1" pivotButton="0" quotePrefix="0" xfId="0">
      <alignment vertical="top"/>
    </xf>
    <xf numFmtId="166" fontId="4" fillId="0" borderId="1" applyAlignment="1" pivotButton="0" quotePrefix="0" xfId="0">
      <alignment horizontal="center" vertical="center"/>
    </xf>
    <xf numFmtId="0" fontId="7" fillId="0" borderId="1" applyAlignment="1" pivotButton="0" quotePrefix="0" xfId="0">
      <alignment vertical="top" wrapText="1"/>
    </xf>
    <xf numFmtId="0" fontId="3" fillId="2" borderId="0" applyAlignment="1" pivotButton="0" quotePrefix="0" xfId="0">
      <alignment horizontal="center" vertical="center"/>
    </xf>
    <xf numFmtId="0" fontId="3" fillId="2" borderId="1" applyAlignment="1" pivotButton="0" quotePrefix="0" xfId="0">
      <alignment horizontal="center" vertical="center"/>
    </xf>
    <xf numFmtId="0" fontId="8" fillId="4" borderId="0" applyAlignment="1" pivotButton="0" quotePrefix="0" xfId="0">
      <alignment horizontal="center" vertical="center"/>
    </xf>
    <xf numFmtId="0" fontId="3" fillId="4" borderId="0" applyAlignment="1" pivotButton="0" quotePrefix="0" xfId="0">
      <alignment horizontal="center" vertical="center"/>
    </xf>
    <xf numFmtId="0" fontId="9" fillId="0" borderId="1" applyAlignment="1" pivotButton="0" quotePrefix="0" xfId="0">
      <alignment horizontal="center" vertical="center" textRotation="90"/>
    </xf>
    <xf numFmtId="0" fontId="10" fillId="5" borderId="0" pivotButton="0" quotePrefix="0" xfId="0"/>
    <xf numFmtId="0" fontId="0" fillId="5" borderId="0" pivotButton="0" quotePrefix="0" xfId="0"/>
    <xf numFmtId="0" fontId="4" fillId="5" borderId="0" pivotButton="0" quotePrefix="0" xfId="0"/>
    <xf numFmtId="9" fontId="7" fillId="5" borderId="0" pivotButton="0" quotePrefix="0" xfId="0"/>
    <xf numFmtId="0" fontId="0" fillId="0" borderId="3" pivotButton="0" quotePrefix="0" xfId="0"/>
    <xf numFmtId="0" fontId="11" fillId="0" borderId="1" applyAlignment="1" pivotButton="0" quotePrefix="0" xfId="0">
      <alignment horizontal="center" vertical="center"/>
    </xf>
    <xf numFmtId="0" fontId="7" fillId="0" borderId="1" applyAlignment="1" pivotButton="0" quotePrefix="0" xfId="0">
      <alignment horizontal="left" vertical="center"/>
    </xf>
    <xf numFmtId="0" fontId="12" fillId="0" borderId="4" applyAlignment="1" pivotButton="0" quotePrefix="0" xfId="0">
      <alignment horizontal="center" vertical="center"/>
    </xf>
    <xf numFmtId="0" fontId="7" fillId="0" borderId="1" applyAlignment="1" pivotButton="0" quotePrefix="0" xfId="0">
      <alignment vertical="top"/>
    </xf>
    <xf numFmtId="9" fontId="5" fillId="0" borderId="1" applyAlignment="1" pivotButton="0" quotePrefix="0" xfId="0">
      <alignment horizontal="center" vertical="center"/>
    </xf>
    <xf numFmtId="165" fontId="5" fillId="0" borderId="1" applyAlignment="1" pivotButton="0" quotePrefix="0" xfId="0">
      <alignment horizontal="center" vertical="center"/>
    </xf>
    <xf numFmtId="167" fontId="3" fillId="2" borderId="1" applyAlignment="1" pivotButton="0" quotePrefix="0" xfId="0">
      <alignment horizontal="center" vertical="center" wrapText="1"/>
    </xf>
    <xf numFmtId="0" fontId="6" fillId="0" borderId="1" applyAlignment="1" pivotButton="0" quotePrefix="0" xfId="0">
      <alignment horizontal="center" vertical="center"/>
    </xf>
    <xf numFmtId="0" fontId="5" fillId="0" borderId="0" pivotButton="0" quotePrefix="0" xfId="0"/>
  </cellXfs>
  <cellStyles count="1">
    <cellStyle name="Normal" xfId="0" builtinId="0" hidden="0"/>
  </cellStyles>
  <dxfs count="18">
    <dxf>
      <fill>
        <patternFill patternType="solid">
          <bgColor rgb="00D7EBDD"/>
        </patternFill>
      </fill>
    </dxf>
    <dxf>
      <font>
        <b val="1"/>
        <color rgb="001E6652"/>
      </font>
      <fill>
        <patternFill patternType="solid">
          <bgColor rgb="00D7EBDD"/>
        </patternFill>
      </fill>
    </dxf>
    <dxf>
      <font>
        <b val="1"/>
        <color rgb="001A3C57"/>
      </font>
      <fill>
        <patternFill patternType="solid">
          <bgColor rgb="00DCE8F5"/>
        </patternFill>
      </fill>
    </dxf>
    <dxf>
      <font>
        <b val="1"/>
        <color rgb="00444444"/>
      </font>
      <fill>
        <patternFill patternType="solid">
          <bgColor rgb="00F2F2F2"/>
        </patternFill>
      </fill>
    </dxf>
    <dxf>
      <font>
        <b val="1"/>
        <color rgb="008A5300"/>
      </font>
      <fill>
        <patternFill patternType="solid">
          <bgColor rgb="00FBE6C8"/>
        </patternFill>
      </fill>
    </dxf>
    <dxf>
      <font>
        <b val="1"/>
        <color rgb="00B3261E"/>
      </font>
    </dxf>
    <dxf>
      <font>
        <b val="1"/>
        <color rgb="008A5300"/>
      </font>
    </dxf>
    <dxf>
      <font>
        <b val="1"/>
        <color rgb="00666666"/>
      </font>
    </dxf>
    <dxf>
      <font>
        <strike val="1"/>
        <color rgb="008A8A8A"/>
      </font>
    </dxf>
    <dxf>
      <fill>
        <patternFill patternType="solid">
          <bgColor rgb="001E6652"/>
        </patternFill>
      </fill>
    </dxf>
    <dxf>
      <fill>
        <patternFill patternType="solid">
          <bgColor rgb="001A3C57"/>
        </patternFill>
      </fill>
    </dxf>
    <dxf>
      <fill>
        <patternFill patternType="solid">
          <bgColor rgb="00B9D3C9"/>
        </patternFill>
      </fill>
    </dxf>
    <dxf>
      <fill>
        <patternFill patternType="solid">
          <bgColor rgb="009DBFB3"/>
        </patternFill>
      </fill>
    </dxf>
    <dxf>
      <fill>
        <patternFill patternType="solid">
          <bgColor rgb="00E0A43A"/>
        </patternFill>
      </fill>
    </dxf>
    <dxf>
      <fill>
        <patternFill patternType="solid">
          <bgColor rgb="007B5EA7"/>
        </patternFill>
      </fill>
    </dxf>
    <dxf>
      <fill>
        <patternFill patternType="solid">
          <bgColor rgb="00F8D7D5"/>
        </patternFill>
      </fill>
    </dxf>
    <dxf>
      <fill>
        <patternFill patternType="solid">
          <bgColor rgb="00D32F2F"/>
        </patternFill>
      </fill>
    </dxf>
    <dxf>
      <fill>
        <patternFill patternType="solid">
          <bgColor rgb="00FBE6C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3"/>
  <sheetViews>
    <sheetView showGridLines="0" zoomScale="90" workbookViewId="0">
      <selection activeCell="A1" sqref="A1"/>
    </sheetView>
  </sheetViews>
  <sheetFormatPr baseColWidth="8" defaultRowHeight="15"/>
  <cols>
    <col width="3" customWidth="1" min="1" max="1"/>
    <col width="40" customWidth="1" min="2" max="2"/>
    <col width="15" customWidth="1" min="3" max="3"/>
    <col width="15" customWidth="1" min="4" max="4"/>
    <col width="34" customWidth="1" min="5" max="5"/>
    <col width="15" customWidth="1" min="6" max="6"/>
    <col width="15" customWidth="1" min="7" max="7"/>
    <col width="15" customWidth="1" min="8" max="8"/>
  </cols>
  <sheetData>
    <row r="1">
      <c r="A1" s="1" t="inlineStr">
        <is>
          <t>Green Alliance — tablero de avances</t>
        </is>
      </c>
    </row>
    <row r="2">
      <c r="A2" s="2" t="inlineStr">
        <is>
          <t>Actualizado: 2026-09-27. Lo mantiene el agente ga-supervisor-avances a partir de docs/avances/plan.json.</t>
        </is>
      </c>
    </row>
    <row r="4">
      <c r="B4" s="3" t="inlineStr">
        <is>
          <t>Parámetros</t>
        </is>
      </c>
    </row>
    <row r="5">
      <c r="B5" s="4" t="inlineStr">
        <is>
          <t>Bloques por semana</t>
        </is>
      </c>
      <c r="C5" s="5" t="n">
        <v>10</v>
      </c>
      <c r="D5" s="6" t="inlineStr">
        <is>
          <t>1 bloque = 1 punto de peso ≈ media jornada de trabajo. Se puede cambiar en la hoja Resumen.</t>
        </is>
      </c>
    </row>
    <row r="6">
      <c r="B6" s="7" t="inlineStr">
        <is>
          <t>HOY (bloque donde termina lo hecho)</t>
        </is>
      </c>
      <c r="C6" s="8" t="n">
        <v>64</v>
      </c>
      <c r="D6" s="6" t="inlineStr">
        <is>
          <t>Calculado por el optimizador.</t>
        </is>
      </c>
    </row>
    <row r="8">
      <c r="B8" s="3" t="inlineStr">
        <is>
          <t>Indicadores</t>
        </is>
      </c>
    </row>
    <row r="9">
      <c r="B9" s="4" t="inlineStr">
        <is>
          <t>Actividades en el plan</t>
        </is>
      </c>
      <c r="C9" s="9">
        <f>COUNTA(Plan!$A$5:$A$76)</f>
        <v/>
      </c>
    </row>
    <row r="10">
      <c r="B10" s="4" t="inlineStr">
        <is>
          <t>Hechas</t>
        </is>
      </c>
      <c r="C10" s="9">
        <f>COUNTIF(Plan!$O$5:$O$76,"Hecho")</f>
        <v/>
      </c>
    </row>
    <row r="11">
      <c r="B11" s="4" t="inlineStr">
        <is>
          <t>En curso</t>
        </is>
      </c>
      <c r="C11" s="9">
        <f>COUNTIF(Plan!$O$5:$O$76,"En curso")</f>
        <v/>
      </c>
    </row>
    <row r="12">
      <c r="B12" s="4" t="inlineStr">
        <is>
          <t>Pendientes</t>
        </is>
      </c>
      <c r="C12" s="9">
        <f>COUNTIF(Plan!$O$5:$O$76,"Pendiente")</f>
        <v/>
      </c>
    </row>
    <row r="13">
      <c r="B13" s="7" t="inlineStr">
        <is>
          <t>Bloqueadas (esperan a la cooperativa)</t>
        </is>
      </c>
      <c r="C13" s="9">
        <f>COUNTIF(Plan!$O$5:$O$76,"Bloqueado")</f>
        <v/>
      </c>
    </row>
    <row r="14">
      <c r="B14" s="4" t="inlineStr">
        <is>
          <t>Peso total (puntos)</t>
        </is>
      </c>
      <c r="C14" s="9">
        <f>SUM(Plan!$D$5:$D$76)</f>
        <v/>
      </c>
    </row>
    <row r="15">
      <c r="B15" s="4" t="inlineStr">
        <is>
          <t>Peso hecho (puntos)</t>
        </is>
      </c>
      <c r="C15" s="9">
        <f>SUMIF(Plan!$O$5:$O$76,"Hecho",Plan!$D$5:$D$76)</f>
        <v/>
      </c>
    </row>
    <row r="16">
      <c r="B16" s="4" t="inlineStr">
        <is>
          <t>Avance ponderado por peso</t>
        </is>
      </c>
      <c r="C16" s="10">
        <f>IF(C14=0,0,C15/C14)</f>
        <v/>
      </c>
    </row>
    <row r="17">
      <c r="B17" s="7" t="inlineStr">
        <is>
          <t>Duración total optimizada (bloques)</t>
        </is>
      </c>
      <c r="C17" s="9">
        <f>MAX(Plan!$L$5:$L$76)</f>
        <v/>
      </c>
    </row>
    <row r="18">
      <c r="B18" s="7" t="inlineStr">
        <is>
          <t>Duración total optimizada (semanas)</t>
        </is>
      </c>
      <c r="C18" s="11">
        <f>C17/C5</f>
        <v/>
      </c>
    </row>
    <row r="19">
      <c r="B19" s="7" t="inlineStr">
        <is>
          <t>Si se hiciera en una sola fila (bloques)</t>
        </is>
      </c>
      <c r="C19" s="9">
        <f>C14</f>
        <v/>
      </c>
    </row>
    <row r="20">
      <c r="B20" s="7" t="inlineStr">
        <is>
          <t>Si se hiciera en una sola fila (semanas)</t>
        </is>
      </c>
      <c r="C20" s="11">
        <f>C19/C5</f>
        <v/>
      </c>
    </row>
    <row r="21">
      <c r="B21" s="7" t="inlineStr">
        <is>
          <t>Tiempo ahorrado con 2 filas</t>
        </is>
      </c>
      <c r="C21" s="10">
        <f>IF(C19=0,0,1-C17/C19)</f>
        <v/>
      </c>
    </row>
    <row r="22">
      <c r="B22" s="4" t="inlineStr">
        <is>
          <t>Falta desde HOY (semanas)</t>
        </is>
      </c>
      <c r="C22" s="11">
        <f>(C17-C6)/C5</f>
        <v/>
      </c>
    </row>
    <row r="23">
      <c r="B23" s="4" t="inlineStr">
        <is>
          <t>Uso de la Fila A</t>
        </is>
      </c>
      <c r="C23" s="12">
        <f>IF(C17=0,0,(SUMIF(Plan!$I$5:$I$76,"A",Plan!$E$5:$E$76)+SUMIF(Plan!$I$5:$I$76,"A+B",Plan!$E$5:$E$76))/C17)</f>
        <v/>
      </c>
    </row>
    <row r="24">
      <c r="B24" s="4" t="inlineStr">
        <is>
          <t>Uso de la Fila B</t>
        </is>
      </c>
      <c r="C24" s="12">
        <f>IF(C17=0,0,(SUMIF(Plan!$I$5:$I$76,"B",Plan!$E$5:$E$76)+SUMIF(Plan!$I$5:$I$76,"A+B",Plan!$E$5:$E$76))/C17)</f>
        <v/>
      </c>
    </row>
    <row r="25">
      <c r="B25" s="7" t="inlineStr">
        <is>
          <t>Plazo de la propuesta (semanas)</t>
        </is>
      </c>
      <c r="C25" s="9">
        <f>MAX('Propuesta original'!E5:E10)</f>
        <v/>
      </c>
    </row>
    <row r="27">
      <c r="B27" s="3" t="inlineStr">
        <is>
          <t>Avance por fase</t>
        </is>
      </c>
    </row>
    <row r="28">
      <c r="A28" s="13" t="inlineStr"/>
      <c r="B28" s="14" t="inlineStr">
        <is>
          <t>Fase</t>
        </is>
      </c>
      <c r="C28" s="14" t="inlineStr">
        <is>
          <t>Peso total</t>
        </is>
      </c>
      <c r="D28" s="14" t="inlineStr">
        <is>
          <t>Peso hecho</t>
        </is>
      </c>
      <c r="E28" s="14" t="inlineStr">
        <is>
          <t>Avance</t>
        </is>
      </c>
      <c r="F28" s="14" t="inlineStr">
        <is>
          <t>Termina (bloque)</t>
        </is>
      </c>
      <c r="G28" s="14" t="inlineStr">
        <is>
          <t>Termina (semana)</t>
        </is>
      </c>
      <c r="H28" s="14" t="inlineStr">
        <is>
          <t>Propuesta (semanas)</t>
        </is>
      </c>
    </row>
    <row r="29">
      <c r="B29" s="4" t="inlineStr">
        <is>
          <t>1. Diseño y arquitectura</t>
        </is>
      </c>
      <c r="C29" s="15">
        <f>SUMIF(Plan!$B$5:$B$76,"1. Diseño y arquitectura",Plan!$D$5:$D$76)</f>
        <v/>
      </c>
      <c r="D29" s="15">
        <f>SUMIFS(Plan!$D$5:$D$76,Plan!$B$5:$B$76,"1. Diseño y arquitectura",Plan!$O$5:$O$76,"Hecho")</f>
        <v/>
      </c>
      <c r="E29" s="12">
        <f>IF(C29=0,0,D29/C29)</f>
        <v/>
      </c>
      <c r="F29" s="15">
        <f>SUMPRODUCT(MAX((Plan!$B$5:$B$76="1. Diseño y arquitectura")*Plan!$L$5:$L$76))</f>
        <v/>
      </c>
      <c r="G29" s="8">
        <f>"S"&amp;ROUNDUP(F29/$C$5,0)</f>
        <v/>
      </c>
      <c r="H29" s="16">
        <f>'Propuesta original'!E5</f>
        <v/>
      </c>
    </row>
    <row r="30">
      <c r="B30" s="7" t="inlineStr">
        <is>
          <t>2. Landing y autenticación</t>
        </is>
      </c>
      <c r="C30" s="15">
        <f>SUMIF(Plan!$B$5:$B$76,"2. Landing y autenticación",Plan!$D$5:$D$76)</f>
        <v/>
      </c>
      <c r="D30" s="15">
        <f>SUMIFS(Plan!$D$5:$D$76,Plan!$B$5:$B$76,"2. Landing y autenticación",Plan!$O$5:$O$76,"Hecho")</f>
        <v/>
      </c>
      <c r="E30" s="12">
        <f>IF(C30=0,0,D30/C30)</f>
        <v/>
      </c>
      <c r="F30" s="15">
        <f>SUMPRODUCT(MAX((Plan!$B$5:$B$76="2. Landing y autenticación")*Plan!$L$5:$L$76))</f>
        <v/>
      </c>
      <c r="G30" s="8">
        <f>"S"&amp;ROUNDUP(F30/$C$5,0)</f>
        <v/>
      </c>
      <c r="H30" s="16">
        <f>'Propuesta original'!E6</f>
        <v/>
      </c>
    </row>
    <row r="31">
      <c r="B31" s="7" t="inlineStr">
        <is>
          <t>3. Flujo de solicitud de crédito</t>
        </is>
      </c>
      <c r="C31" s="15">
        <f>SUMIF(Plan!$B$5:$B$76,"3. Flujo de solicitud de crédito",Plan!$D$5:$D$76)</f>
        <v/>
      </c>
      <c r="D31" s="15">
        <f>SUMIFS(Plan!$D$5:$D$76,Plan!$B$5:$B$76,"3. Flujo de solicitud de crédito",Plan!$O$5:$O$76,"Hecho")</f>
        <v/>
      </c>
      <c r="E31" s="12">
        <f>IF(C31=0,0,D31/C31)</f>
        <v/>
      </c>
      <c r="F31" s="15">
        <f>SUMPRODUCT(MAX((Plan!$B$5:$B$76="3. Flujo de solicitud de crédito")*Plan!$L$5:$L$76))</f>
        <v/>
      </c>
      <c r="G31" s="8">
        <f>"S"&amp;ROUNDUP(F31/$C$5,0)</f>
        <v/>
      </c>
      <c r="H31" s="16">
        <f>'Propuesta original'!E7</f>
        <v/>
      </c>
    </row>
    <row r="32">
      <c r="B32" s="7" t="inlineStr">
        <is>
          <t>4. Panel de administración</t>
        </is>
      </c>
      <c r="C32" s="15">
        <f>SUMIF(Plan!$B$5:$B$76,"4. Panel de administración",Plan!$D$5:$D$76)</f>
        <v/>
      </c>
      <c r="D32" s="15">
        <f>SUMIFS(Plan!$D$5:$D$76,Plan!$B$5:$B$76,"4. Panel de administración",Plan!$O$5:$O$76,"Hecho")</f>
        <v/>
      </c>
      <c r="E32" s="12">
        <f>IF(C32=0,0,D32/C32)</f>
        <v/>
      </c>
      <c r="F32" s="15">
        <f>SUMPRODUCT(MAX((Plan!$B$5:$B$76="4. Panel de administración")*Plan!$L$5:$L$76))</f>
        <v/>
      </c>
      <c r="G32" s="8">
        <f>"S"&amp;ROUNDUP(F32/$C$5,0)</f>
        <v/>
      </c>
      <c r="H32" s="16">
        <f>'Propuesta original'!E8</f>
        <v/>
      </c>
    </row>
    <row r="33">
      <c r="B33" s="4" t="inlineStr">
        <is>
          <t>5. Convenios y pulido</t>
        </is>
      </c>
      <c r="C33" s="15">
        <f>SUMIF(Plan!$B$5:$B$76,"5. Convenios y pulido",Plan!$D$5:$D$76)</f>
        <v/>
      </c>
      <c r="D33" s="15">
        <f>SUMIFS(Plan!$D$5:$D$76,Plan!$B$5:$B$76,"5. Convenios y pulido",Plan!$O$5:$O$76,"Hecho")</f>
        <v/>
      </c>
      <c r="E33" s="12">
        <f>IF(C33=0,0,D33/C33)</f>
        <v/>
      </c>
      <c r="F33" s="15">
        <f>SUMPRODUCT(MAX((Plan!$B$5:$B$76="5. Convenios y pulido")*Plan!$L$5:$L$76))</f>
        <v/>
      </c>
      <c r="G33" s="8">
        <f>"S"&amp;ROUNDUP(F33/$C$5,0)</f>
        <v/>
      </c>
      <c r="H33" s="16">
        <f>'Propuesta original'!E9</f>
        <v/>
      </c>
    </row>
    <row r="34">
      <c r="B34" s="4" t="inlineStr">
        <is>
          <t>6. Pruebas y lanzamiento</t>
        </is>
      </c>
      <c r="C34" s="15">
        <f>SUMIF(Plan!$B$5:$B$76,"6. Pruebas y lanzamiento",Plan!$D$5:$D$76)</f>
        <v/>
      </c>
      <c r="D34" s="15">
        <f>SUMIFS(Plan!$D$5:$D$76,Plan!$B$5:$B$76,"6. Pruebas y lanzamiento",Plan!$O$5:$O$76,"Hecho")</f>
        <v/>
      </c>
      <c r="E34" s="12">
        <f>IF(C34=0,0,D34/C34)</f>
        <v/>
      </c>
      <c r="F34" s="15">
        <f>SUMPRODUCT(MAX((Plan!$B$5:$B$76="6. Pruebas y lanzamiento")*Plan!$L$5:$L$76))</f>
        <v/>
      </c>
      <c r="G34" s="8">
        <f>"S"&amp;ROUNDUP(F34/$C$5,0)</f>
        <v/>
      </c>
      <c r="H34" s="16">
        <f>'Propuesta original'!E10</f>
        <v/>
      </c>
    </row>
    <row r="36">
      <c r="B36" s="3" t="inlineStr">
        <is>
          <t>Hitos de pago (propuesta)</t>
        </is>
      </c>
    </row>
    <row r="37">
      <c r="A37" s="13" t="inlineStr"/>
      <c r="B37" s="14" t="inlineStr">
        <is>
          <t>Pago</t>
        </is>
      </c>
      <c r="C37" s="14" t="inlineStr">
        <is>
          <t>Valor (COP)</t>
        </is>
      </c>
      <c r="D37" s="14" t="inlineStr">
        <is>
          <t>Fase</t>
        </is>
      </c>
      <c r="E37" s="14" t="inlineStr">
        <is>
          <t>Se libera en</t>
        </is>
      </c>
      <c r="F37" s="14" t="inlineStr">
        <is>
          <t>Bloque</t>
        </is>
      </c>
      <c r="G37" s="14" t="inlineStr">
        <is>
          <t>Semana</t>
        </is>
      </c>
      <c r="H37" s="14" t="inlineStr">
        <is>
          <t>Estado del hito</t>
        </is>
      </c>
    </row>
    <row r="38">
      <c r="B38" s="4" t="inlineStr">
        <is>
          <t>Adelanto</t>
        </is>
      </c>
      <c r="C38" s="17" t="n">
        <v>500000</v>
      </c>
      <c r="D38" s="8" t="n">
        <v>1</v>
      </c>
      <c r="E38" s="7" t="inlineStr">
        <is>
          <t>Al iniciar el proyecto (Fase 1)</t>
        </is>
      </c>
      <c r="F38" s="15" t="n">
        <v>0</v>
      </c>
      <c r="G38" s="8" t="inlineStr">
        <is>
          <t>S1</t>
        </is>
      </c>
      <c r="H38" s="18">
        <f>"Cumplido (inicio)"</f>
        <v/>
      </c>
    </row>
    <row r="39">
      <c r="B39" s="4" t="inlineStr">
        <is>
          <t>Pago 2</t>
        </is>
      </c>
      <c r="C39" s="17" t="n">
        <v>800000</v>
      </c>
      <c r="D39" s="8" t="n">
        <v>3</v>
      </c>
      <c r="E39" s="7" t="inlineStr">
        <is>
          <t>Login y flujo de solicitud de crédito funcionando (fin Fase 3)</t>
        </is>
      </c>
      <c r="F39" s="15">
        <f>F31</f>
        <v/>
      </c>
      <c r="G39" s="8">
        <f>G31</f>
        <v/>
      </c>
      <c r="H39" s="18">
        <f>IF(E31=1,"Cumplido","Falta "&amp;TEXT(1-E31,"0%"))</f>
        <v/>
      </c>
    </row>
    <row r="40">
      <c r="B40" s="4" t="inlineStr">
        <is>
          <t>Pago 3</t>
        </is>
      </c>
      <c r="C40" s="17" t="n">
        <v>800000</v>
      </c>
      <c r="D40" s="8" t="n">
        <v>4</v>
      </c>
      <c r="E40" s="7" t="inlineStr">
        <is>
          <t>Panel de administración funcionando (fin Fase 4)</t>
        </is>
      </c>
      <c r="F40" s="15">
        <f>F32</f>
        <v/>
      </c>
      <c r="G40" s="8">
        <f>G32</f>
        <v/>
      </c>
      <c r="H40" s="18">
        <f>IF(E32=1,"Cumplido","Falta "&amp;TEXT(1-E32,"0%"))</f>
        <v/>
      </c>
    </row>
    <row r="41">
      <c r="B41" s="4" t="inlineStr">
        <is>
          <t>Pago final</t>
        </is>
      </c>
      <c r="C41" s="17" t="n">
        <v>900000</v>
      </c>
      <c r="D41" s="8" t="n">
        <v>6</v>
      </c>
      <c r="E41" s="7" t="inlineStr">
        <is>
          <t>Entrega en producción (fin Fase 6)</t>
        </is>
      </c>
      <c r="F41" s="15">
        <f>F34</f>
        <v/>
      </c>
      <c r="G41" s="8">
        <f>G34</f>
        <v/>
      </c>
      <c r="H41" s="18">
        <f>IF(E34=1,"Cumplido","Falta "&amp;TEXT(1-E34,"0%"))</f>
        <v/>
      </c>
    </row>
    <row r="42">
      <c r="B42" s="19" t="inlineStr">
        <is>
          <t>Total</t>
        </is>
      </c>
      <c r="C42" s="20">
        <f>SUM(C38:C41)</f>
        <v/>
      </c>
    </row>
    <row r="44">
      <c r="B44" s="3" t="inlineStr">
        <is>
          <t>Pendientes por categoría (hoja Pendientes)</t>
        </is>
      </c>
    </row>
    <row r="45">
      <c r="A45" s="13" t="inlineStr"/>
      <c r="B45" s="14" t="inlineStr">
        <is>
          <t>Categoría</t>
        </is>
      </c>
      <c r="C45" s="14" t="inlineStr">
        <is>
          <t>Hecho</t>
        </is>
      </c>
      <c r="D45" s="14" t="inlineStr">
        <is>
          <t>En curso</t>
        </is>
      </c>
      <c r="E45" s="14" t="inlineStr">
        <is>
          <t>Pendiente</t>
        </is>
      </c>
      <c r="F45" s="14" t="inlineStr">
        <is>
          <t>Bloqueado</t>
        </is>
      </c>
      <c r="G45" s="14" t="inlineStr">
        <is>
          <t>Total</t>
        </is>
      </c>
    </row>
    <row r="46">
      <c r="B46" s="4" t="inlineStr">
        <is>
          <t>Decisión</t>
        </is>
      </c>
      <c r="C46" s="15">
        <f>COUNTIFS(Pendientes!$B$5:$B$107,$B46,Pendientes!$G$5:$G$107,"Hecho")</f>
        <v/>
      </c>
      <c r="D46" s="15">
        <f>COUNTIFS(Pendientes!$B$5:$B$107,$B46,Pendientes!$G$5:$G$107,"En curso")</f>
        <v/>
      </c>
      <c r="E46" s="15">
        <f>COUNTIFS(Pendientes!$B$5:$B$107,$B46,Pendientes!$G$5:$G$107,"Pendiente")</f>
        <v/>
      </c>
      <c r="F46" s="15">
        <f>COUNTIFS(Pendientes!$B$5:$B$107,$B46,Pendientes!$G$5:$G$107,"Bloqueado")</f>
        <v/>
      </c>
      <c r="G46" s="9">
        <f>SUM(C46:F46)</f>
        <v/>
      </c>
    </row>
    <row r="47">
      <c r="B47" s="4" t="inlineStr">
        <is>
          <t>Dato de la cooperativa</t>
        </is>
      </c>
      <c r="C47" s="15">
        <f>COUNTIFS(Pendientes!$B$5:$B$107,$B47,Pendientes!$G$5:$G$107,"Hecho")</f>
        <v/>
      </c>
      <c r="D47" s="15">
        <f>COUNTIFS(Pendientes!$B$5:$B$107,$B47,Pendientes!$G$5:$G$107,"En curso")</f>
        <v/>
      </c>
      <c r="E47" s="15">
        <f>COUNTIFS(Pendientes!$B$5:$B$107,$B47,Pendientes!$G$5:$G$107,"Pendiente")</f>
        <v/>
      </c>
      <c r="F47" s="15">
        <f>COUNTIFS(Pendientes!$B$5:$B$107,$B47,Pendientes!$G$5:$G$107,"Bloqueado")</f>
        <v/>
      </c>
      <c r="G47" s="9">
        <f>SUM(C47:F47)</f>
        <v/>
      </c>
    </row>
    <row r="48">
      <c r="B48" s="4" t="inlineStr">
        <is>
          <t>Configuración</t>
        </is>
      </c>
      <c r="C48" s="15">
        <f>COUNTIFS(Pendientes!$B$5:$B$107,$B48,Pendientes!$G$5:$G$107,"Hecho")</f>
        <v/>
      </c>
      <c r="D48" s="15">
        <f>COUNTIFS(Pendientes!$B$5:$B$107,$B48,Pendientes!$G$5:$G$107,"En curso")</f>
        <v/>
      </c>
      <c r="E48" s="15">
        <f>COUNTIFS(Pendientes!$B$5:$B$107,$B48,Pendientes!$G$5:$G$107,"Pendiente")</f>
        <v/>
      </c>
      <c r="F48" s="15">
        <f>COUNTIFS(Pendientes!$B$5:$B$107,$B48,Pendientes!$G$5:$G$107,"Bloqueado")</f>
        <v/>
      </c>
      <c r="G48" s="9">
        <f>SUM(C48:F48)</f>
        <v/>
      </c>
    </row>
    <row r="49">
      <c r="B49" s="4" t="inlineStr">
        <is>
          <t>Funcionalidad</t>
        </is>
      </c>
      <c r="C49" s="15">
        <f>COUNTIFS(Pendientes!$B$5:$B$107,$B49,Pendientes!$G$5:$G$107,"Hecho")</f>
        <v/>
      </c>
      <c r="D49" s="15">
        <f>COUNTIFS(Pendientes!$B$5:$B$107,$B49,Pendientes!$G$5:$G$107,"En curso")</f>
        <v/>
      </c>
      <c r="E49" s="15">
        <f>COUNTIFS(Pendientes!$B$5:$B$107,$B49,Pendientes!$G$5:$G$107,"Pendiente")</f>
        <v/>
      </c>
      <c r="F49" s="15">
        <f>COUNTIFS(Pendientes!$B$5:$B$107,$B49,Pendientes!$G$5:$G$107,"Bloqueado")</f>
        <v/>
      </c>
      <c r="G49" s="9">
        <f>SUM(C49:F49)</f>
        <v/>
      </c>
    </row>
    <row r="50">
      <c r="B50" s="4" t="inlineStr">
        <is>
          <t>Verificación y cierre</t>
        </is>
      </c>
      <c r="C50" s="15">
        <f>COUNTIFS(Pendientes!$B$5:$B$107,$B50,Pendientes!$G$5:$G$107,"Hecho")</f>
        <v/>
      </c>
      <c r="D50" s="15">
        <f>COUNTIFS(Pendientes!$B$5:$B$107,$B50,Pendientes!$G$5:$G$107,"En curso")</f>
        <v/>
      </c>
      <c r="E50" s="15">
        <f>COUNTIFS(Pendientes!$B$5:$B$107,$B50,Pendientes!$G$5:$G$107,"Pendiente")</f>
        <v/>
      </c>
      <c r="F50" s="15">
        <f>COUNTIFS(Pendientes!$B$5:$B$107,$B50,Pendientes!$G$5:$G$107,"Bloqueado")</f>
        <v/>
      </c>
      <c r="G50" s="9">
        <f>SUM(C50:F50)</f>
        <v/>
      </c>
    </row>
    <row r="51">
      <c r="B51" s="4" t="inlineStr">
        <is>
          <t>Seguridad</t>
        </is>
      </c>
      <c r="C51" s="15">
        <f>COUNTIFS(Pendientes!$B$5:$B$107,$B51,Pendientes!$G$5:$G$107,"Hecho")</f>
        <v/>
      </c>
      <c r="D51" s="15">
        <f>COUNTIFS(Pendientes!$B$5:$B$107,$B51,Pendientes!$G$5:$G$107,"En curso")</f>
        <v/>
      </c>
      <c r="E51" s="15">
        <f>COUNTIFS(Pendientes!$B$5:$B$107,$B51,Pendientes!$G$5:$G$107,"Pendiente")</f>
        <v/>
      </c>
      <c r="F51" s="15">
        <f>COUNTIFS(Pendientes!$B$5:$B$107,$B51,Pendientes!$G$5:$G$107,"Bloqueado")</f>
        <v/>
      </c>
      <c r="G51" s="9">
        <f>SUM(C51:F51)</f>
        <v/>
      </c>
    </row>
    <row r="52">
      <c r="B52" s="4" t="inlineStr">
        <is>
          <t>Código</t>
        </is>
      </c>
      <c r="C52" s="15">
        <f>COUNTIFS(Pendientes!$B$5:$B$107,$B52,Pendientes!$G$5:$G$107,"Hecho")</f>
        <v/>
      </c>
      <c r="D52" s="15">
        <f>COUNTIFS(Pendientes!$B$5:$B$107,$B52,Pendientes!$G$5:$G$107,"En curso")</f>
        <v/>
      </c>
      <c r="E52" s="15">
        <f>COUNTIFS(Pendientes!$B$5:$B$107,$B52,Pendientes!$G$5:$G$107,"Pendiente")</f>
        <v/>
      </c>
      <c r="F52" s="15">
        <f>COUNTIFS(Pendientes!$B$5:$B$107,$B52,Pendientes!$G$5:$G$107,"Bloqueado")</f>
        <v/>
      </c>
      <c r="G52" s="9">
        <f>SUM(C52:F52)</f>
        <v/>
      </c>
    </row>
    <row r="53">
      <c r="B53" s="4" t="inlineStr">
        <is>
          <t>Base de datos</t>
        </is>
      </c>
      <c r="C53" s="15">
        <f>COUNTIFS(Pendientes!$B$5:$B$107,$B53,Pendientes!$G$5:$G$107,"Hecho")</f>
        <v/>
      </c>
      <c r="D53" s="15">
        <f>COUNTIFS(Pendientes!$B$5:$B$107,$B53,Pendientes!$G$5:$G$107,"En curso")</f>
        <v/>
      </c>
      <c r="E53" s="15">
        <f>COUNTIFS(Pendientes!$B$5:$B$107,$B53,Pendientes!$G$5:$G$107,"Pendiente")</f>
        <v/>
      </c>
      <c r="F53" s="15">
        <f>COUNTIFS(Pendientes!$B$5:$B$107,$B53,Pendientes!$G$5:$G$107,"Bloqueado")</f>
        <v/>
      </c>
      <c r="G53" s="9">
        <f>SUM(C53:F53)</f>
        <v/>
      </c>
    </row>
  </sheetData>
  <conditionalFormatting sqref="E29:E34">
    <cfRule type="expression" priority="1" dxfId="0">
      <formula>E29=1</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07"/>
  <sheetViews>
    <sheetView showGridLines="0" zoomScale="9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20" customWidth="1" min="2" max="2"/>
    <col width="16" customWidth="1" min="3" max="3"/>
    <col width="56" customWidth="1" min="4" max="4"/>
    <col width="24" customWidth="1" min="5" max="5"/>
    <col width="10" customWidth="1" min="6" max="6"/>
    <col width="11" customWidth="1" min="7" max="7"/>
    <col width="10" customWidth="1" min="8" max="8"/>
    <col width="26" customWidth="1" min="9" max="9"/>
    <col width="46" customWidth="1" min="10" max="10"/>
  </cols>
  <sheetData>
    <row r="1">
      <c r="A1" s="1" t="inlineStr">
        <is>
          <t>Pendientes organizados</t>
        </is>
      </c>
    </row>
    <row r="2">
      <c r="A2" s="2" t="inlineStr">
        <is>
          <t>Ordenados por categoría, estado y prioridad. «Actividad del plan» enlaza con la hoja Plan / Gantt.</t>
        </is>
      </c>
    </row>
    <row r="4">
      <c r="A4" s="14" t="inlineStr">
        <is>
          <t>ID</t>
        </is>
      </c>
      <c r="B4" s="14" t="inlineStr">
        <is>
          <t>Categoría</t>
        </is>
      </c>
      <c r="C4" s="14" t="inlineStr">
        <is>
          <t>Área / pantalla</t>
        </is>
      </c>
      <c r="D4" s="14" t="inlineStr">
        <is>
          <t>Tarea</t>
        </is>
      </c>
      <c r="E4" s="14" t="inlineStr">
        <is>
          <t>Responsable</t>
        </is>
      </c>
      <c r="F4" s="14" t="inlineStr">
        <is>
          <t>Prioridad</t>
        </is>
      </c>
      <c r="G4" s="14" t="inlineStr">
        <is>
          <t>Estado</t>
        </is>
      </c>
      <c r="H4" s="14" t="inlineStr">
        <is>
          <t>Actividad del plan</t>
        </is>
      </c>
      <c r="I4" s="14" t="inlineStr">
        <is>
          <t>Fase de la actividad</t>
        </is>
      </c>
      <c r="J4" s="14" t="inlineStr">
        <is>
          <t>Nota</t>
        </is>
      </c>
    </row>
    <row r="5">
      <c r="A5" s="19" t="inlineStr">
        <is>
          <t>P-20</t>
        </is>
      </c>
      <c r="B5" s="4" t="inlineStr">
        <is>
          <t>Configuración</t>
        </is>
      </c>
      <c r="C5" s="4" t="inlineStr">
        <is>
          <t>Supabase</t>
        </is>
      </c>
      <c r="D5" s="7" t="inlineStr">
        <is>
          <t>Plantilla del correo con {{ .Token }} (código, no enlace)</t>
        </is>
      </c>
      <c r="E5" s="7" t="inlineStr">
        <is>
          <t>Yo (panel Supabase/Resend)</t>
        </is>
      </c>
      <c r="F5" s="8" t="inlineStr">
        <is>
          <t>Alta</t>
        </is>
      </c>
      <c r="G5" s="8" t="inlineStr">
        <is>
          <t>En curso</t>
        </is>
      </c>
      <c r="H5" s="8" t="inlineStr">
        <is>
          <t>2.4</t>
        </is>
      </c>
      <c r="I5" s="21">
        <f>IFERROR(INDEX(Plan!$B$5:$B$76,MATCH(H5,Plan!$A$5:$A$76,0)),"—")</f>
        <v/>
      </c>
      <c r="J5" s="7" t="inlineStr">
        <is>
          <t>23-sep: supabase/templates/codigo-ingreso.html rediseñada (HTML con la marca Green Alliance) y probada en local (llega a Mailpit con el código). Falta que Sebas la pegue en Authentication → Emails → Templates → Magic Link del panel de producción.</t>
        </is>
      </c>
    </row>
    <row r="6">
      <c r="A6" s="19" t="inlineStr">
        <is>
          <t>P-72</t>
        </is>
      </c>
      <c r="B6" s="4" t="inlineStr">
        <is>
          <t>Configuración</t>
        </is>
      </c>
      <c r="C6" s="4" t="inlineStr">
        <is>
          <t>Git</t>
        </is>
      </c>
      <c r="D6" s="7" t="inlineStr">
        <is>
          <t>Dar a Carlos acceso de colaborador al repo GitHub GreenAllianceCoo/PagGreenAlliance y compartirle el encargo (sin llaves de producción)</t>
        </is>
      </c>
      <c r="E6" s="7" t="inlineStr">
        <is>
          <t>Sebas</t>
        </is>
      </c>
      <c r="F6" s="8" t="inlineStr">
        <is>
          <t>Alta</t>
        </is>
      </c>
      <c r="G6" s="8" t="inlineStr">
        <is>
          <t>En curso</t>
        </is>
      </c>
      <c r="H6" s="8" t="inlineStr">
        <is>
          <t>—</t>
        </is>
      </c>
      <c r="I6" s="21">
        <f>IFERROR(INDEX(Plan!$B$5:$B$76,MATCH(H6,Plan!$A$5:$A$76,0)),"—")</f>
        <v/>
      </c>
      <c r="J6" s="7" t="inlineStr">
        <is>
          <t>Necesario antes de que Carlos pueda abrir PRs a develop desde su propia rama. 24-sep: Sebas ya habló con Carlos para darle el acceso; falta confirmarlo en GitHub.</t>
        </is>
      </c>
    </row>
    <row r="7">
      <c r="A7" s="19" t="inlineStr">
        <is>
          <t>P-43</t>
        </is>
      </c>
      <c r="B7" s="4" t="inlineStr">
        <is>
          <t>Configuración</t>
        </is>
      </c>
      <c r="C7" s="4" t="inlineStr">
        <is>
          <t>Base de datos</t>
        </is>
      </c>
      <c r="D7" s="7" t="inlineStr">
        <is>
          <t>Aplicar en producción la migración 20260923210000_limite_de_intentos.sql</t>
        </is>
      </c>
      <c r="E7" s="7" t="inlineStr">
        <is>
          <t>Sebas (ga-auditor-supabase revisa antes)</t>
        </is>
      </c>
      <c r="F7" s="8" t="inlineStr">
        <is>
          <t>Alta</t>
        </is>
      </c>
      <c r="G7" s="8" t="inlineStr">
        <is>
          <t>Pendiente</t>
        </is>
      </c>
      <c r="H7" s="8" t="inlineStr">
        <is>
          <t>6.8</t>
        </is>
      </c>
      <c r="I7" s="21">
        <f>IFERROR(INDEX(Plan!$B$5:$B$76,MATCH(H7,Plan!$A$5:$A$76,0)),"—")</f>
        <v/>
      </c>
      <c r="J7" s="7" t="inlineStr">
        <is>
          <t>Crea la tabla limites_intentos y la función registrar_intento, que usan /afiliacion, /ingresar y «Reenviar código» (dentroDelLimite). Sin ella esos límites fallan en producción. Antes del despliegue (6.5). 23-sep: auditada por ga-auditor-supabase, se puede aplicar tal cual (docs/auditorias/2026-09-23-limite-de-intentos.md); falta que Sebas haga db push.</t>
        </is>
      </c>
    </row>
    <row r="8">
      <c r="A8" s="19" t="inlineStr">
        <is>
          <t>P-45</t>
        </is>
      </c>
      <c r="B8" s="4" t="inlineStr">
        <is>
          <t>Configuración</t>
        </is>
      </c>
      <c r="C8" s="4" t="inlineStr">
        <is>
          <t>Supabase</t>
        </is>
      </c>
      <c r="D8" s="7" t="inlineStr">
        <is>
          <t>Panel de producción: OTP de 6 dígitos, vencimiento del código en 600 s (10 min) e intervalo entre correos ≤ 45 s</t>
        </is>
      </c>
      <c r="E8" s="7" t="inlineStr">
        <is>
          <t>Yo (panel Supabase/Resend)</t>
        </is>
      </c>
      <c r="F8" s="8" t="inlineStr">
        <is>
          <t>Alta</t>
        </is>
      </c>
      <c r="G8" s="8" t="inlineStr">
        <is>
          <t>Pendiente</t>
        </is>
      </c>
      <c r="H8" s="8" t="inlineStr">
        <is>
          <t>2.4</t>
        </is>
      </c>
      <c r="I8" s="21">
        <f>IFERROR(INDEX(Plan!$B$5:$B$76,MATCH(H8,Plan!$A$5:$A$76,0)),"—")</f>
        <v/>
      </c>
      <c r="J8" s="7" t="inlineStr">
        <is>
          <t>Complementa P-19 (SMTP) y P-20 (plantilla Magic Link con {{ .Token }}).</t>
        </is>
      </c>
    </row>
    <row r="9">
      <c r="A9" s="19" t="inlineStr">
        <is>
          <t>P-21</t>
        </is>
      </c>
      <c r="B9" s="4" t="inlineStr">
        <is>
          <t>Configuración</t>
        </is>
      </c>
      <c r="C9" s="4" t="inlineStr">
        <is>
          <t>Resend</t>
        </is>
      </c>
      <c r="D9" s="7" t="inlineStr">
        <is>
          <t>Revisar el límite de Resend (plan gratis ≈ 100 correos/día)</t>
        </is>
      </c>
      <c r="E9" s="7" t="inlineStr">
        <is>
          <t>Yo</t>
        </is>
      </c>
      <c r="F9" s="8" t="inlineStr">
        <is>
          <t>Media</t>
        </is>
      </c>
      <c r="G9" s="8" t="inlineStr">
        <is>
          <t>Pendiente</t>
        </is>
      </c>
      <c r="H9" s="8" t="inlineStr">
        <is>
          <t>2.4</t>
        </is>
      </c>
      <c r="I9" s="21">
        <f>IFERROR(INDEX(Plan!$B$5:$B$76,MATCH(H9,Plan!$A$5:$A$76,0)),"—")</f>
        <v/>
      </c>
      <c r="J9" s="7" t="inlineStr"/>
    </row>
    <row r="10">
      <c r="A10" s="19" t="inlineStr">
        <is>
          <t>P-54</t>
        </is>
      </c>
      <c r="B10" s="4" t="inlineStr">
        <is>
          <t>Configuración</t>
        </is>
      </c>
      <c r="C10" s="4" t="inlineStr">
        <is>
          <t>Vercel</t>
        </is>
      </c>
      <c r="D10" s="7" t="inlineStr">
        <is>
          <t>Alerta en los logs de Vercel para limite_de_intentos_fallo y limite_secreto_faltante</t>
        </is>
      </c>
      <c r="E10" s="7" t="inlineStr">
        <is>
          <t>Yo (panel Vercel)</t>
        </is>
      </c>
      <c r="F10" s="8" t="inlineStr">
        <is>
          <t>Media</t>
        </is>
      </c>
      <c r="G10" s="8" t="inlineStr">
        <is>
          <t>Pendiente</t>
        </is>
      </c>
      <c r="H10" s="8" t="inlineStr">
        <is>
          <t>6.12</t>
        </is>
      </c>
      <c r="I10" s="21">
        <f>IFERROR(INDEX(Plan!$B$5:$B$76,MATCH(H10,Plan!$A$5:$A$76,0)),"—")</f>
        <v/>
      </c>
      <c r="J10" s="7" t="inlineStr">
        <is>
          <t>Sugerido por ga-auditor-supabase en la auditoría de P-43.</t>
        </is>
      </c>
    </row>
    <row r="11">
      <c r="A11" s="19" t="inlineStr">
        <is>
          <t>P-73</t>
        </is>
      </c>
      <c r="B11" s="4" t="inlineStr">
        <is>
          <t>Configuración</t>
        </is>
      </c>
      <c r="C11" s="4" t="inlineStr">
        <is>
          <t>Pagos</t>
        </is>
      </c>
      <c r="D11" s="7" t="inlineStr">
        <is>
          <t>Revisar y pagar a Carlos Pardo 500.000 COP al entregar el paquete (PRs fusionados en develop)</t>
        </is>
      </c>
      <c r="E11" s="7" t="inlineStr">
        <is>
          <t>Sebas</t>
        </is>
      </c>
      <c r="F11" s="8" t="inlineStr">
        <is>
          <t>Media</t>
        </is>
      </c>
      <c r="G11" s="8" t="inlineStr">
        <is>
          <t>Pendiente</t>
        </is>
      </c>
      <c r="H11" s="8" t="inlineStr">
        <is>
          <t>—</t>
        </is>
      </c>
      <c r="I11" s="21">
        <f>IFERROR(INDEX(Plan!$B$5:$B$76,MATCH(H11,Plan!$A$5:$A$76,0)),"—")</f>
        <v/>
      </c>
      <c r="J11" s="7" t="inlineStr">
        <is>
          <t>Pago único por P-66 a P-71 (4.7, 4.8, 5.9, 5.10, 6.14, 6.15). Cada PR de Carlos lo revisa un agente ga-* antes de fusionarlo a develop.</t>
        </is>
      </c>
    </row>
    <row r="12">
      <c r="A12" s="19" t="inlineStr">
        <is>
          <t>P-55</t>
        </is>
      </c>
      <c r="B12" s="4" t="inlineStr">
        <is>
          <t>Configuración</t>
        </is>
      </c>
      <c r="C12" s="4" t="inlineStr">
        <is>
          <t>Base de datos</t>
        </is>
      </c>
      <c r="D12" s="7" t="inlineStr">
        <is>
          <t>Opcional: revocar la secuencia limites_intentos_id_seq a anon y authenticated</t>
        </is>
      </c>
      <c r="E12" s="7" t="inlineStr">
        <is>
          <t>Yo + ga-auditor-supabase</t>
        </is>
      </c>
      <c r="F12" s="8" t="inlineStr">
        <is>
          <t>Baja</t>
        </is>
      </c>
      <c r="G12" s="8" t="inlineStr">
        <is>
          <t>Pendiente</t>
        </is>
      </c>
      <c r="H12" s="8" t="inlineStr">
        <is>
          <t>6.8</t>
        </is>
      </c>
      <c r="I12" s="21">
        <f>IFERROR(INDEX(Plan!$B$5:$B$76,MATCH(H12,Plan!$A$5:$A$76,0)),"—")</f>
        <v/>
      </c>
      <c r="J12" s="7" t="inlineStr">
        <is>
          <t>Sugerido por ga-auditor-supabase en la auditoría de P-43.</t>
        </is>
      </c>
    </row>
    <row r="13">
      <c r="A13" s="19" t="inlineStr">
        <is>
          <t>P-19</t>
        </is>
      </c>
      <c r="B13" s="4" t="inlineStr">
        <is>
          <t>Configuración</t>
        </is>
      </c>
      <c r="C13" s="4" t="inlineStr">
        <is>
          <t>Supabase</t>
        </is>
      </c>
      <c r="D13" s="7" t="inlineStr">
        <is>
          <t>SMTP propio con Resend (Authentication → Emails → SMTP Settings)</t>
        </is>
      </c>
      <c r="E13" s="7" t="inlineStr">
        <is>
          <t>Yo (panel Supabase/Resend)</t>
        </is>
      </c>
      <c r="F13" s="8" t="inlineStr">
        <is>
          <t>Alta</t>
        </is>
      </c>
      <c r="G13" s="8" t="inlineStr">
        <is>
          <t>Hecho</t>
        </is>
      </c>
      <c r="H13" s="8" t="inlineStr">
        <is>
          <t>2.4</t>
        </is>
      </c>
      <c r="I13" s="21">
        <f>IFERROR(INDEX(Plan!$B$5:$B$76,MATCH(H13,Plan!$A$5:$A$76,0)),"—")</f>
        <v/>
      </c>
      <c r="J13" s="7" t="inlineStr">
        <is>
          <t>Configurado por Sebas el 23-sep. El código de 6 dígitos lo envía Supabase Auth (no Resend desde la app); funciona en local. Ver docs/resend-plantillas.md.</t>
        </is>
      </c>
    </row>
    <row r="14">
      <c r="A14" s="19" t="inlineStr">
        <is>
          <t>P-44</t>
        </is>
      </c>
      <c r="B14" s="4" t="inlineStr">
        <is>
          <t>Configuración</t>
        </is>
      </c>
      <c r="C14" s="4" t="inlineStr">
        <is>
          <t>Vercel</t>
        </is>
      </c>
      <c r="D14" s="7" t="inlineStr">
        <is>
          <t>Variables: SUPABASE_SERVICE_ROLE_KEY, INGRESO_COOKIE_SECRET, LIMITE_HMAC_SECRET, RESEND_API_KEY, EMAIL_FROM, SITIO_URL, RESEND_TEMPLATE_INGRESO_ACEPTADO, RESEND_TEMPLATE_CREDITO_APROBADO, RESEND_TEMPLATE_CREDITO_RECHAZADO, RESEND_TEMPLATE_SORTEO_BOLETA, NEXT_PUBLIC_WHATSAPP</t>
        </is>
      </c>
      <c r="E14" s="7" t="inlineStr">
        <is>
          <t>Yo</t>
        </is>
      </c>
      <c r="F14" s="8" t="inlineStr">
        <is>
          <t>Alta</t>
        </is>
      </c>
      <c r="G14" s="8" t="inlineStr">
        <is>
          <t>Hecho</t>
        </is>
      </c>
      <c r="H14" s="8" t="inlineStr">
        <is>
          <t>6.9</t>
        </is>
      </c>
      <c r="I14" s="21">
        <f>IFERROR(INDEX(Plan!$B$5:$B$76,MATCH(H14,Plan!$A$5:$A$76,0)),"—")</f>
        <v/>
      </c>
      <c r="J14" s="7" t="inlineStr">
        <is>
          <t>NEXT_PUBLIC_WHATSAPP ya tenía dato (P-10, 311 724 1942). 25-sep: Sebas puso el resto de variables en Vercel (SITIO_URL=https://www.greenallianceco.com, RESEND_API_KEY, EMAIL_FROM, LIMITE_HMAC_SECRET y las 4 RESEND_TEMPLATE_*), tras crear y publicar las plantillas en Resend (P-61). Queda abierto por separado que SUPABASE_SERVICE_ROLE_KEY siga dando «Invalid API key» (P-60).</t>
        </is>
      </c>
    </row>
    <row r="15">
      <c r="A15" s="19" t="inlineStr">
        <is>
          <t>P-59</t>
        </is>
      </c>
      <c r="B15" s="4" t="inlineStr">
        <is>
          <t>Configuración</t>
        </is>
      </c>
      <c r="C15" s="4" t="inlineStr">
        <is>
          <t>Base de datos</t>
        </is>
      </c>
      <c r="D15" s="7" t="inlineStr">
        <is>
          <t>Aplicar en producción las 9 migraciones de fase 2 (20260924000000…000800) y desplegar enseguida</t>
        </is>
      </c>
      <c r="E15" s="7" t="inlineStr">
        <is>
          <t>Sebas (ga-auditor-supabase revisa antes)</t>
        </is>
      </c>
      <c r="F15" s="8" t="inlineStr">
        <is>
          <t>Alta</t>
        </is>
      </c>
      <c r="G15" s="8" t="inlineStr">
        <is>
          <t>Hecho</t>
        </is>
      </c>
      <c r="H15" s="8" t="inlineStr">
        <is>
          <t>6.13</t>
        </is>
      </c>
      <c r="I15" s="21">
        <f>IFERROR(INDEX(Plan!$B$5:$B$76,MATCH(H15,Plan!$A$5:$A$76,0)),"—")</f>
        <v/>
      </c>
      <c r="J15" s="7" t="inlineStr">
        <is>
          <t>25-sep: Sebas aplicó las 9 migraciones en producción con `supabase db push` (dry-run confirmó exactamente esas 9) y fusionó el PR develop → main; Vercel desplegó fase 2 en www.greenallianceco.com, verificado por HTTP.</t>
        </is>
      </c>
    </row>
    <row r="16">
      <c r="A16" s="19" t="inlineStr">
        <is>
          <t>P-60</t>
        </is>
      </c>
      <c r="B16" s="4" t="inlineStr">
        <is>
          <t>Configuración</t>
        </is>
      </c>
      <c r="C16" s="4" t="inlineStr">
        <is>
          <t>Vercel</t>
        </is>
      </c>
      <c r="D16" s="7" t="inlineStr">
        <is>
          <t>Corregir SUPABASE_SERVICE_ROLE_KEY en Vercel (hoy da «Invalid API key»)</t>
        </is>
      </c>
      <c r="E16" s="7" t="inlineStr">
        <is>
          <t>Sebas</t>
        </is>
      </c>
      <c r="F16" s="8" t="inlineStr">
        <is>
          <t>Alta</t>
        </is>
      </c>
      <c r="G16" s="8" t="inlineStr">
        <is>
          <t>Hecho</t>
        </is>
      </c>
      <c r="H16" s="8" t="inlineStr">
        <is>
          <t>6.9</t>
        </is>
      </c>
      <c r="I16" s="21">
        <f>IFERROR(INDEX(Plan!$B$5:$B$76,MATCH(H16,Plan!$A$5:$A$76,0)),"—")</f>
        <v/>
      </c>
      <c r="J16" s="7" t="inlineStr">
        <is>
          <t>24-sep: Sebas corrigió la llave en Vercel (confirmado el 25-sep).</t>
        </is>
      </c>
    </row>
    <row r="17">
      <c r="A17" s="19" t="inlineStr">
        <is>
          <t>P-61</t>
        </is>
      </c>
      <c r="B17" s="4" t="inlineStr">
        <is>
          <t>Configuración</t>
        </is>
      </c>
      <c r="C17" s="4" t="inlineStr">
        <is>
          <t>Resend</t>
        </is>
      </c>
      <c r="D17" s="7" t="inlineStr">
        <is>
          <t>Crear en Resend las plantillas de ingreso aceptado, crédito aprobado/rechazado y boleta del sorteo (ga-sorteo-boleta); confirmar el tope de 3 reenvíos de boleta al día</t>
        </is>
      </c>
      <c r="E17" s="7" t="inlineStr">
        <is>
          <t>Sebas</t>
        </is>
      </c>
      <c r="F17" s="8" t="inlineStr">
        <is>
          <t>Alta</t>
        </is>
      </c>
      <c r="G17" s="8" t="inlineStr">
        <is>
          <t>Hecho</t>
        </is>
      </c>
      <c r="H17" s="8" t="inlineStr">
        <is>
          <t>6.9</t>
        </is>
      </c>
      <c r="I17" s="21">
        <f>IFERROR(INDEX(Plan!$B$5:$B$76,MATCH(H17,Plan!$A$5:$A$76,0)),"—")</f>
        <v/>
      </c>
      <c r="J17" s="7" t="inlineStr">
        <is>
          <t>RESEND_API_KEY, EMAIL_FROM y RESEND_TEMPLATE_SORTEO_BOLETA ya son obligatorias para el build. 24-sep: el HTML de las 4 plantillas listo en docs/resend/. 25-sep: Sebas creó y publicó las 4 plantillas en Resend.</t>
        </is>
      </c>
    </row>
    <row r="18">
      <c r="A18" s="19" t="inlineStr">
        <is>
          <t>P-87</t>
        </is>
      </c>
      <c r="B18" s="4" t="inlineStr">
        <is>
          <t>Configuración</t>
        </is>
      </c>
      <c r="C18" s="4" t="inlineStr">
        <is>
          <t>Vercel</t>
        </is>
      </c>
      <c r="D18" s="7" t="inlineStr">
        <is>
          <t>M-02: greenallianceco.com a veces sirve 200 en vez de redirigir 308 a www</t>
        </is>
      </c>
      <c r="E18" s="7" t="inlineStr">
        <is>
          <t>Sebas</t>
        </is>
      </c>
      <c r="F18" s="8" t="inlineStr">
        <is>
          <t>Media</t>
        </is>
      </c>
      <c r="G18" s="8" t="inlineStr">
        <is>
          <t>Hecho</t>
        </is>
      </c>
      <c r="H18" s="8" t="inlineStr">
        <is>
          <t>6.4</t>
        </is>
      </c>
      <c r="I18" s="21">
        <f>IFERROR(INDEX(Plan!$B$5:$B$76,MATCH(H18,Plan!$A$5:$A$76,0)),"—")</f>
        <v/>
      </c>
      <c r="J18" s="7" t="inlineStr">
        <is>
          <t>25-sep: Sebas mostró Vercel → Domains con greenallianceco.com en 308 → www (bien configurado); lo visto por QA era caché del borde. 25-sep: hallazgo de ga-verificador-qa (redirigió bien en la primera prueba, pero 14 min después sirvió 200 directo 5 veces seguidas). Revisar en Vercel → Domains; no es código del repo.</t>
        </is>
      </c>
    </row>
    <row r="19">
      <c r="A19" s="19" t="inlineStr">
        <is>
          <t>P-37</t>
        </is>
      </c>
      <c r="B19" s="4" t="inlineStr">
        <is>
          <t>Funcionalidad</t>
        </is>
      </c>
      <c r="C19" s="4" t="inlineStr">
        <is>
          <t>Correos</t>
        </is>
      </c>
      <c r="D19" s="7" t="inlineStr">
        <is>
          <t>Correo «Resultado del crédito» (aprobado / no aprobado) al asociado al resolver una solicitud</t>
        </is>
      </c>
      <c r="E19" s="7" t="inlineStr">
        <is>
          <t>ga-funcionalidad-botones</t>
        </is>
      </c>
      <c r="F19" s="8" t="inlineStr">
        <is>
          <t>Alta</t>
        </is>
      </c>
      <c r="G19" s="8" t="inlineStr">
        <is>
          <t>En curso</t>
        </is>
      </c>
      <c r="H19" s="8" t="inlineStr">
        <is>
          <t>4.3</t>
        </is>
      </c>
      <c r="I19" s="21">
        <f>IFERROR(INDEX(Plan!$B$5:$B$76,MATCH(H19,Plan!$A$5:$A$76,0)),"—")</f>
        <v/>
      </c>
      <c r="J19" s="7" t="inlineStr">
        <is>
          <t>24-sep: enviarResultadoCredito ya está conectado al aprobar/rechazar en /admin (probado en local); falta que Sebas configure el SMTP/Resend de producción (2.4) para que salga de verdad.</t>
        </is>
      </c>
    </row>
    <row r="20">
      <c r="A20" s="19" t="inlineStr">
        <is>
          <t>P-51</t>
        </is>
      </c>
      <c r="B20" s="4" t="inlineStr">
        <is>
          <t>Funcionalidad</t>
        </is>
      </c>
      <c r="C20" s="4" t="inlineStr">
        <is>
          <t>Correos</t>
        </is>
      </c>
      <c r="D20" s="7" t="inlineStr">
        <is>
          <t>Correo «Ingreso aceptado» (plantilla ga-ingreso-aceptado): acción del admin que aprueba la afiliación, crea el usuario y envía el correo</t>
        </is>
      </c>
      <c r="E20" s="7" t="inlineStr">
        <is>
          <t>ga-funcionalidad-botones</t>
        </is>
      </c>
      <c r="F20" s="8" t="inlineStr">
        <is>
          <t>Alta</t>
        </is>
      </c>
      <c r="G20" s="8" t="inlineStr">
        <is>
          <t>Pendiente</t>
        </is>
      </c>
      <c r="H20" s="8" t="inlineStr">
        <is>
          <t>4.5</t>
        </is>
      </c>
      <c r="I20" s="21">
        <f>IFERROR(INDEX(Plan!$B$5:$B$76,MATCH(H20,Plan!$A$5:$A$76,0)),"—")</f>
        <v/>
      </c>
      <c r="J20" s="7" t="inlineStr">
        <is>
          <t>No implementado en la app. Requiere RESEND_TEMPLATE_INGRESO_ACEPTADO (P-44). Ver docs/resend-plantillas.md.</t>
        </is>
      </c>
    </row>
    <row r="21">
      <c r="A21" s="19" t="inlineStr">
        <is>
          <t>P-66</t>
        </is>
      </c>
      <c r="B21" s="4" t="inlineStr">
        <is>
          <t>Funcionalidad</t>
        </is>
      </c>
      <c r="C21" s="4" t="inlineStr">
        <is>
          <t>Admin</t>
        </is>
      </c>
      <c r="D21" s="7" t="inlineStr">
        <is>
          <t>Dashboard de clientes en /admin: métricas (asociados por grado/institución, afiliaciones y créditos pendientes, montos del mes, inscritos al sorteo), lista con buscador/filtros, detalle de cliente y reasignar asesor</t>
        </is>
      </c>
      <c r="E21" s="7" t="inlineStr">
        <is>
          <t>Carlos Pardo</t>
        </is>
      </c>
      <c r="F21" s="8" t="inlineStr">
        <is>
          <t>Alta</t>
        </is>
      </c>
      <c r="G21" s="8" t="inlineStr">
        <is>
          <t>Pendiente</t>
        </is>
      </c>
      <c r="H21" s="8" t="inlineStr">
        <is>
          <t>4.7</t>
        </is>
      </c>
      <c r="I21" s="21">
        <f>IFERROR(INDEX(Plan!$B$5:$B$76,MATCH(H21,Plan!$A$5:$A$76,0)),"—")</f>
        <v/>
      </c>
      <c r="J21" s="7" t="inlineStr">
        <is>
          <t>Encargo externo (500.000 COP) por PR a develop. Ver P-73.</t>
        </is>
      </c>
    </row>
    <row r="22">
      <c r="A22" s="19" t="inlineStr">
        <is>
          <t>P-67</t>
        </is>
      </c>
      <c r="B22" s="4" t="inlineStr">
        <is>
          <t>Funcionalidad</t>
        </is>
      </c>
      <c r="C22" s="4" t="inlineStr">
        <is>
          <t>Asesor</t>
        </is>
      </c>
      <c r="D22" s="7" t="inlineStr">
        <is>
          <t>Dashboard del asesor en /asesor: métricas de sus clientes y detalle de cliente sin celular, correo, Nequi ni fotos</t>
        </is>
      </c>
      <c r="E22" s="7" t="inlineStr">
        <is>
          <t>Carlos Pardo</t>
        </is>
      </c>
      <c r="F22" s="8" t="inlineStr">
        <is>
          <t>Alta</t>
        </is>
      </c>
      <c r="G22" s="8" t="inlineStr">
        <is>
          <t>Pendiente</t>
        </is>
      </c>
      <c r="H22" s="8" t="inlineStr">
        <is>
          <t>4.8</t>
        </is>
      </c>
      <c r="I22" s="21">
        <f>IFERROR(INDEX(Plan!$B$5:$B$76,MATCH(H22,Plan!$A$5:$A$76,0)),"—")</f>
        <v/>
      </c>
      <c r="J22" s="7" t="inlineStr">
        <is>
          <t>Encargo externo (500.000 COP) por PR a develop. Ver P-73.</t>
        </is>
      </c>
    </row>
    <row r="23">
      <c r="A23" s="19" t="inlineStr">
        <is>
          <t>P-69</t>
        </is>
      </c>
      <c r="B23" s="4" t="inlineStr">
        <is>
          <t>Funcionalidad</t>
        </is>
      </c>
      <c r="C23" s="4" t="inlineStr">
        <is>
          <t>Legal</t>
        </is>
      </c>
      <c r="D23" s="7" t="inlineStr">
        <is>
          <t>Ley 1581: borrado automático de fotos de afiliaciones rechazadas tras X días y motivo de rechazo en /admin</t>
        </is>
      </c>
      <c r="E23" s="7" t="inlineStr">
        <is>
          <t>Carlos Pardo</t>
        </is>
      </c>
      <c r="F23" s="8" t="inlineStr">
        <is>
          <t>Alta</t>
        </is>
      </c>
      <c r="G23" s="8" t="inlineStr">
        <is>
          <t>Pendiente</t>
        </is>
      </c>
      <c r="H23" s="8" t="inlineStr">
        <is>
          <t>5.10</t>
        </is>
      </c>
      <c r="I23" s="21">
        <f>IFERROR(INDEX(Plan!$B$5:$B$76,MATCH(H23,Plan!$A$5:$A$76,0)),"—")</f>
        <v/>
      </c>
      <c r="J23" s="7" t="inlineStr">
        <is>
          <t>Encargo externo (500.000 COP) por PR a develop. Falta que la cooperativa dé el X de días (ver P-63). Ver P-73.</t>
        </is>
      </c>
    </row>
    <row r="24">
      <c r="A24" s="19" t="inlineStr">
        <is>
          <t>P-48</t>
        </is>
      </c>
      <c r="B24" s="4" t="inlineStr">
        <is>
          <t>Funcionalidad</t>
        </is>
      </c>
      <c r="C24" s="4" t="inlineStr">
        <is>
          <t>/afiliacion</t>
        </is>
      </c>
      <c r="D24" s="7" t="inlineStr">
        <is>
          <t>F-01: el select «Grado» se vacía tras un error de validación</t>
        </is>
      </c>
      <c r="E24" s="7" t="inlineStr">
        <is>
          <t>ga-funcionalidad-botones</t>
        </is>
      </c>
      <c r="F24" s="8" t="inlineStr">
        <is>
          <t>Media</t>
        </is>
      </c>
      <c r="G24" s="8" t="inlineStr">
        <is>
          <t>Pendiente</t>
        </is>
      </c>
      <c r="H24" s="8" t="inlineStr">
        <is>
          <t>2.11</t>
        </is>
      </c>
      <c r="I24" s="21">
        <f>IFERROR(INDEX(Plan!$B$5:$B$76,MATCH(H24,Plan!$A$5:$A$76,0)),"—")</f>
        <v/>
      </c>
      <c r="J24" s="7" t="inlineStr">
        <is>
          <t>Falla media de la verificación QA 1 (docs/verificaciones/2026-09-23-verificacion-1.md).</t>
        </is>
      </c>
    </row>
    <row r="25">
      <c r="A25" s="19" t="inlineStr">
        <is>
          <t>P-56</t>
        </is>
      </c>
      <c r="B25" s="4" t="inlineStr">
        <is>
          <t>Funcionalidad</t>
        </is>
      </c>
      <c r="C25" s="4" t="inlineStr">
        <is>
          <t>/cuenta/solicitar</t>
        </is>
      </c>
      <c r="D25" s="7" t="inlineStr">
        <is>
          <t>Revisar el diseño de /cuenta/solicitar (sin maqueta; selector 50/100 como radios)</t>
        </is>
      </c>
      <c r="E25" s="7" t="inlineStr">
        <is>
          <t>ga-diseno-a-codigo</t>
        </is>
      </c>
      <c r="F25" s="8" t="inlineStr">
        <is>
          <t>Media</t>
        </is>
      </c>
      <c r="G25" s="8" t="inlineStr">
        <is>
          <t>Pendiente</t>
        </is>
      </c>
      <c r="H25" s="8" t="inlineStr">
        <is>
          <t>5.6</t>
        </is>
      </c>
      <c r="I25" s="21">
        <f>IFERROR(INDEX(Plan!$B$5:$B$76,MATCH(H25,Plan!$A$5:$A$76,0)),"—")</f>
        <v/>
      </c>
      <c r="J25" s="7" t="inlineStr">
        <is>
          <t>Pedido por ga-funcionalidad-botones el 23-sep.</t>
        </is>
      </c>
    </row>
    <row r="26">
      <c r="A26" s="19" t="inlineStr">
        <is>
          <t>P-57</t>
        </is>
      </c>
      <c r="B26" s="4" t="inlineStr">
        <is>
          <t>Funcionalidad</t>
        </is>
      </c>
      <c r="C26" s="4" t="inlineStr">
        <is>
          <t>/asesor</t>
        </is>
      </c>
      <c r="D26" s="7" t="inlineStr">
        <is>
          <t>Agregar /asesor al matcher de proxy.ts y redirigir por rol tras el login</t>
        </is>
      </c>
      <c r="E26" s="7" t="inlineStr">
        <is>
          <t>ga-funcionalidad-botones</t>
        </is>
      </c>
      <c r="F26" s="8" t="inlineStr">
        <is>
          <t>Media</t>
        </is>
      </c>
      <c r="G26" s="8" t="inlineStr">
        <is>
          <t>Pendiente</t>
        </is>
      </c>
      <c r="H26" s="8" t="inlineStr">
        <is>
          <t>4.6</t>
        </is>
      </c>
      <c r="I26" s="21">
        <f>IFERROR(INDEX(Plan!$B$5:$B$76,MATCH(H26,Plan!$A$5:$A$76,0)),"—")</f>
        <v/>
      </c>
      <c r="J26" s="7" t="inlineStr">
        <is>
          <t>Hoy un asesor que ingresa cae en /cuenta, no en /asesor; la página /asesor igual se protege por su cuenta si se navega directo.</t>
        </is>
      </c>
    </row>
    <row r="27">
      <c r="A27" s="19" t="inlineStr">
        <is>
          <t>P-68</t>
        </is>
      </c>
      <c r="B27" s="4" t="inlineStr">
        <is>
          <t>Funcionalidad</t>
        </is>
      </c>
      <c r="C27" s="4" t="inlineStr">
        <is>
          <t>Convenios</t>
        </is>
      </c>
      <c r="D27" s="7" t="inlineStr">
        <is>
          <t>Convenios administrables desde /admin (crear, editar, ocultar, ordenar, logo en Storage); landing y /cuenta leen de la tabla convenios</t>
        </is>
      </c>
      <c r="E27" s="7" t="inlineStr">
        <is>
          <t>Carlos Pardo</t>
        </is>
      </c>
      <c r="F27" s="8" t="inlineStr">
        <is>
          <t>Media</t>
        </is>
      </c>
      <c r="G27" s="8" t="inlineStr">
        <is>
          <t>Pendiente</t>
        </is>
      </c>
      <c r="H27" s="8" t="inlineStr">
        <is>
          <t>5.9</t>
        </is>
      </c>
      <c r="I27" s="21">
        <f>IFERROR(INDEX(Plan!$B$5:$B$76,MATCH(H27,Plan!$A$5:$A$76,0)),"—")</f>
        <v/>
      </c>
      <c r="J27" s="7" t="inlineStr">
        <is>
          <t>Encargo externo (500.000 COP) por PR a develop. Ver P-73.</t>
        </is>
      </c>
    </row>
    <row r="28">
      <c r="A28" s="19" t="inlineStr">
        <is>
          <t>P-22</t>
        </is>
      </c>
      <c r="B28" s="4" t="inlineStr">
        <is>
          <t>Funcionalidad</t>
        </is>
      </c>
      <c r="C28" s="4" t="inlineStr">
        <is>
          <t>/ingresar</t>
        </is>
      </c>
      <c r="D28" s="7" t="inlineStr">
        <is>
          <t>Server Action: correo_por_cedula(), signInWithOtp, cookie firmada, ir a /ingresar/codigo</t>
        </is>
      </c>
      <c r="E28" s="7" t="inlineStr">
        <is>
          <t>ga-funcionalidad-botones</t>
        </is>
      </c>
      <c r="F28" s="8" t="inlineStr">
        <is>
          <t>Alta</t>
        </is>
      </c>
      <c r="G28" s="8" t="inlineStr">
        <is>
          <t>Hecho</t>
        </is>
      </c>
      <c r="H28" s="8" t="inlineStr">
        <is>
          <t>2.5</t>
        </is>
      </c>
      <c r="I28" s="21">
        <f>IFERROR(INDEX(Plan!$B$5:$B$76,MATCH(H28,Plan!$A$5:$A$76,0)),"—")</f>
        <v/>
      </c>
      <c r="J28" s="7" t="inlineStr"/>
    </row>
    <row r="29">
      <c r="A29" s="19" t="inlineStr">
        <is>
          <t>P-24</t>
        </is>
      </c>
      <c r="B29" s="4" t="inlineStr">
        <is>
          <t>Funcionalidad</t>
        </is>
      </c>
      <c r="C29" s="4" t="inlineStr">
        <is>
          <t>/ingresar/codigo</t>
        </is>
      </c>
      <c r="D29" s="7" t="inlineStr">
        <is>
          <t>Leer la cookie del paso 1; sin cookie, volver a /ingresar</t>
        </is>
      </c>
      <c r="E29" s="7" t="inlineStr">
        <is>
          <t>ga-funcionalidad-botones</t>
        </is>
      </c>
      <c r="F29" s="8" t="inlineStr">
        <is>
          <t>Alta</t>
        </is>
      </c>
      <c r="G29" s="8" t="inlineStr">
        <is>
          <t>Hecho</t>
        </is>
      </c>
      <c r="H29" s="8" t="inlineStr">
        <is>
          <t>2.6</t>
        </is>
      </c>
      <c r="I29" s="21">
        <f>IFERROR(INDEX(Plan!$B$5:$B$76,MATCH(H29,Plan!$A$5:$A$76,0)),"—")</f>
        <v/>
      </c>
      <c r="J29" s="7" t="inlineStr"/>
    </row>
    <row r="30">
      <c r="A30" s="19" t="inlineStr">
        <is>
          <t>P-25</t>
        </is>
      </c>
      <c r="B30" s="4" t="inlineStr">
        <is>
          <t>Funcionalidad</t>
        </is>
      </c>
      <c r="C30" s="4" t="inlineStr">
        <is>
          <t>/ingresar/codigo</t>
        </is>
      </c>
      <c r="D30" s="7" t="inlineStr">
        <is>
          <t>verifyOtp y entrar a /cuenta</t>
        </is>
      </c>
      <c r="E30" s="7" t="inlineStr">
        <is>
          <t>ga-funcionalidad-botones</t>
        </is>
      </c>
      <c r="F30" s="8" t="inlineStr">
        <is>
          <t>Alta</t>
        </is>
      </c>
      <c r="G30" s="8" t="inlineStr">
        <is>
          <t>Hecho</t>
        </is>
      </c>
      <c r="H30" s="8" t="inlineStr">
        <is>
          <t>2.6</t>
        </is>
      </c>
      <c r="I30" s="21">
        <f>IFERROR(INDEX(Plan!$B$5:$B$76,MATCH(H30,Plan!$A$5:$A$76,0)),"—")</f>
        <v/>
      </c>
      <c r="J30" s="7" t="inlineStr"/>
    </row>
    <row r="31">
      <c r="A31" s="19" t="inlineStr">
        <is>
          <t>P-28</t>
        </is>
      </c>
      <c r="B31" s="4" t="inlineStr">
        <is>
          <t>Funcionalidad</t>
        </is>
      </c>
      <c r="C31" s="4" t="inlineStr">
        <is>
          <t>/afiliacion</t>
        </is>
      </c>
      <c r="D31" s="7" t="inlineStr">
        <is>
          <t>Server Action: zod, límites por IP y cédula, guardar</t>
        </is>
      </c>
      <c r="E31" s="7" t="inlineStr">
        <is>
          <t>ga-funcionalidad-botones</t>
        </is>
      </c>
      <c r="F31" s="8" t="inlineStr">
        <is>
          <t>Alta</t>
        </is>
      </c>
      <c r="G31" s="8" t="inlineStr">
        <is>
          <t>Hecho</t>
        </is>
      </c>
      <c r="H31" s="8" t="inlineStr">
        <is>
          <t>2.9</t>
        </is>
      </c>
      <c r="I31" s="21">
        <f>IFERROR(INDEX(Plan!$B$5:$B$76,MATCH(H31,Plan!$A$5:$A$76,0)),"—")</f>
        <v/>
      </c>
      <c r="J31" s="7" t="inlineStr">
        <is>
          <t>23-sep: se quitaron los correos al equipo y al solicitante (decisión de Sebas). El equipo revisa las afiliaciones en Supabase hasta que exista el panel /admin; el correo «Ingreso aceptado» sale al aprobar (P-51).</t>
        </is>
      </c>
    </row>
    <row r="32">
      <c r="A32" s="19" t="inlineStr">
        <is>
          <t>P-31</t>
        </is>
      </c>
      <c r="B32" s="4" t="inlineStr">
        <is>
          <t>Funcionalidad</t>
        </is>
      </c>
      <c r="C32" s="4" t="inlineStr">
        <is>
          <t>/cuenta</t>
        </is>
      </c>
      <c r="D32" s="7" t="inlineStr">
        <is>
          <t>Proteger con proxy.ts y «Salir» con signOut</t>
        </is>
      </c>
      <c r="E32" s="7" t="inlineStr">
        <is>
          <t>ga-funcionalidad-botones</t>
        </is>
      </c>
      <c r="F32" s="8" t="inlineStr">
        <is>
          <t>Alta</t>
        </is>
      </c>
      <c r="G32" s="8" t="inlineStr">
        <is>
          <t>Hecho</t>
        </is>
      </c>
      <c r="H32" s="8" t="inlineStr">
        <is>
          <t>2.7</t>
        </is>
      </c>
      <c r="I32" s="21">
        <f>IFERROR(INDEX(Plan!$B$5:$B$76,MATCH(H32,Plan!$A$5:$A$76,0)),"—")</f>
        <v/>
      </c>
      <c r="J32" s="7" t="inlineStr"/>
    </row>
    <row r="33">
      <c r="A33" s="19" t="inlineStr">
        <is>
          <t>P-32</t>
        </is>
      </c>
      <c r="B33" s="4" t="inlineStr">
        <is>
          <t>Funcionalidad</t>
        </is>
      </c>
      <c r="C33" s="4" t="inlineStr">
        <is>
          <t>/cuenta</t>
        </is>
      </c>
      <c r="D33" s="7" t="inlineStr">
        <is>
          <t>Cargar perfil, última solicitud (con tasa), tope y convenios</t>
        </is>
      </c>
      <c r="E33" s="7" t="inlineStr">
        <is>
          <t>ga-funcionalidad-botones</t>
        </is>
      </c>
      <c r="F33" s="8" t="inlineStr">
        <is>
          <t>Alta</t>
        </is>
      </c>
      <c r="G33" s="8" t="inlineStr">
        <is>
          <t>Hecho</t>
        </is>
      </c>
      <c r="H33" s="8" t="inlineStr">
        <is>
          <t>3.5</t>
        </is>
      </c>
      <c r="I33" s="21">
        <f>IFERROR(INDEX(Plan!$B$5:$B$76,MATCH(H33,Plan!$A$5:$A$76,0)),"—")</f>
        <v/>
      </c>
      <c r="J33" s="7" t="inlineStr"/>
    </row>
    <row r="34">
      <c r="A34" s="19" t="inlineStr">
        <is>
          <t>P-35</t>
        </is>
      </c>
      <c r="B34" s="4" t="inlineStr">
        <is>
          <t>Funcionalidad</t>
        </is>
      </c>
      <c r="C34" s="4" t="inlineStr">
        <is>
          <t>Crédito</t>
        </is>
      </c>
      <c r="D34" s="7" t="inlineStr">
        <is>
          <t>Conectar el formulario de crédito a /cuenta</t>
        </is>
      </c>
      <c r="E34" s="7" t="inlineStr">
        <is>
          <t>ga-funcionalidad-botones</t>
        </is>
      </c>
      <c r="F34" s="8" t="inlineStr">
        <is>
          <t>Alta</t>
        </is>
      </c>
      <c r="G34" s="8" t="inlineStr">
        <is>
          <t>Hecho</t>
        </is>
      </c>
      <c r="H34" s="8" t="inlineStr">
        <is>
          <t>3.7</t>
        </is>
      </c>
      <c r="I34" s="21">
        <f>IFERROR(INDEX(Plan!$B$5:$B$76,MATCH(H34,Plan!$A$5:$A$76,0)),"—")</f>
        <v/>
      </c>
      <c r="J34" s="7" t="inlineStr">
        <is>
          <t>23-sep: el formulario vive en /cuenta/solicitar (protegida por proxy.ts, encabezado compartido EncabezadoCuenta); «Nueva solicitud» lleva ahí.</t>
        </is>
      </c>
    </row>
    <row r="35">
      <c r="A35" s="19" t="inlineStr">
        <is>
          <t>P-36</t>
        </is>
      </c>
      <c r="B35" s="4" t="inlineStr">
        <is>
          <t>Funcionalidad</t>
        </is>
      </c>
      <c r="C35" s="4" t="inlineStr">
        <is>
          <t>Admin</t>
        </is>
      </c>
      <c r="D35" s="7" t="inlineStr">
        <is>
          <t>Panel /admin: listado, aprobar y rechazar con motivo</t>
        </is>
      </c>
      <c r="E35" s="7" t="inlineStr">
        <is>
          <t>ga-funcionalidad-botones</t>
        </is>
      </c>
      <c r="F35" s="8" t="inlineStr">
        <is>
          <t>Alta</t>
        </is>
      </c>
      <c r="G35" s="8" t="inlineStr">
        <is>
          <t>Hecho</t>
        </is>
      </c>
      <c r="H35" s="8" t="inlineStr">
        <is>
          <t>4.1</t>
        </is>
      </c>
      <c r="I35" s="21">
        <f>IFERROR(INDEX(Plan!$B$5:$B$76,MATCH(H35,Plan!$A$5:$A$76,0)),"—")</f>
        <v/>
      </c>
      <c r="J35" s="7" t="inlineStr">
        <is>
          <t>24-sep: implementado y probado en local (commits 235ffbe, a13c2de). Un admin no puede resolver su propia solicitud.</t>
        </is>
      </c>
    </row>
    <row r="36">
      <c r="A36" s="19" t="inlineStr">
        <is>
          <t>P-38</t>
        </is>
      </c>
      <c r="B36" s="4" t="inlineStr">
        <is>
          <t>Funcionalidad</t>
        </is>
      </c>
      <c r="C36" s="4" t="inlineStr">
        <is>
          <t>Asociados</t>
        </is>
      </c>
      <c r="D36" s="7" t="inlineStr">
        <is>
          <t>Importación de asociados desde Excel</t>
        </is>
      </c>
      <c r="E36" s="7" t="inlineStr">
        <is>
          <t>ga-funcionalidad-botones</t>
        </is>
      </c>
      <c r="F36" s="8" t="inlineStr">
        <is>
          <t>Alta</t>
        </is>
      </c>
      <c r="G36" s="8" t="inlineStr">
        <is>
          <t>Hecho</t>
        </is>
      </c>
      <c r="H36" s="8" t="inlineStr">
        <is>
          <t>4.4</t>
        </is>
      </c>
      <c r="I36" s="21">
        <f>IFERROR(INDEX(Plan!$B$5:$B$76,MATCH(H36,Plan!$A$5:$A$76,0)),"—")</f>
        <v/>
      </c>
      <c r="J36" s="7" t="inlineStr">
        <is>
          <t>Ya no aplica: decisión de la cooperativa 2026-09-24, no habrá importación de Excel.</t>
        </is>
      </c>
    </row>
    <row r="37">
      <c r="A37" s="19" t="inlineStr">
        <is>
          <t>P-85</t>
        </is>
      </c>
      <c r="B37" s="4" t="inlineStr">
        <is>
          <t>Funcionalidad</t>
        </is>
      </c>
      <c r="C37" s="4" t="inlineStr">
        <is>
          <t>/afiliacion</t>
        </is>
      </c>
      <c r="D37" s="7" t="inlineStr">
        <is>
          <t>Correo de afiliación acepta cualquier dominio (ya no exige @policia.gov.co / @ejercito.mil.co)</t>
        </is>
      </c>
      <c r="E37" s="7" t="inlineStr">
        <is>
          <t>sesión principal</t>
        </is>
      </c>
      <c r="F37" s="8" t="inlineStr">
        <is>
          <t>Alta</t>
        </is>
      </c>
      <c r="G37" s="8" t="inlineStr">
        <is>
          <t>Hecho</t>
        </is>
      </c>
      <c r="H37" s="8" t="inlineStr">
        <is>
          <t>2.12</t>
        </is>
      </c>
      <c r="I37" s="21">
        <f>IFERROR(INDEX(Plan!$B$5:$B$76,MATCH(H37,Plan!$A$5:$A$76,0)),"—")</f>
        <v/>
      </c>
      <c r="J37" s="7" t="inlineStr">
        <is>
          <t>25-sep: esquema zod, campo del formulario y pruebas (unitarias, e2e, pgTAP) actualizados; migración 20260925194922_correo_afiliacion_cualquier_dominio aplicada en producción (base de datos) y el archivo local renombrado a esa versión para que el historial coincida. F-01 revisado: la máscara del correo ahora oculta también el dominio («ju•••@•••»). 25-sep: desplegado con el PR #2 (merge 2c19d02); confirmado en vivo que /afiliacion ya no exige correo institucional.</t>
        </is>
      </c>
    </row>
    <row r="38">
      <c r="A38" s="19" t="inlineStr">
        <is>
          <t>P-23</t>
        </is>
      </c>
      <c r="B38" s="4" t="inlineStr">
        <is>
          <t>Funcionalidad</t>
        </is>
      </c>
      <c r="C38" s="4" t="inlineStr">
        <is>
          <t>/ingresar</t>
        </is>
      </c>
      <c r="D38" s="7" t="inlineStr">
        <is>
          <t>Estado «Enviando…» (prop cargando) y errores (prop error)</t>
        </is>
      </c>
      <c r="E38" s="7" t="inlineStr">
        <is>
          <t>ga-funcionalidad-botones</t>
        </is>
      </c>
      <c r="F38" s="8" t="inlineStr">
        <is>
          <t>Media</t>
        </is>
      </c>
      <c r="G38" s="8" t="inlineStr">
        <is>
          <t>Hecho</t>
        </is>
      </c>
      <c r="H38" s="8" t="inlineStr">
        <is>
          <t>2.5</t>
        </is>
      </c>
      <c r="I38" s="21">
        <f>IFERROR(INDEX(Plan!$B$5:$B$76,MATCH(H38,Plan!$A$5:$A$76,0)),"—")</f>
        <v/>
      </c>
      <c r="J38" s="7" t="inlineStr"/>
    </row>
    <row r="39">
      <c r="A39" s="19" t="inlineStr">
        <is>
          <t>P-26</t>
        </is>
      </c>
      <c r="B39" s="4" t="inlineStr">
        <is>
          <t>Funcionalidad</t>
        </is>
      </c>
      <c r="C39" s="4" t="inlineStr">
        <is>
          <t>/ingresar/codigo</t>
        </is>
      </c>
      <c r="D39" s="7" t="inlineStr">
        <is>
          <t>Casillas OTP: avance automático, Backspace, pegar; «Entrar» con 6 dígitos</t>
        </is>
      </c>
      <c r="E39" s="7" t="inlineStr">
        <is>
          <t>ga-funcionalidad-botones</t>
        </is>
      </c>
      <c r="F39" s="8" t="inlineStr">
        <is>
          <t>Media</t>
        </is>
      </c>
      <c r="G39" s="8" t="inlineStr">
        <is>
          <t>Hecho</t>
        </is>
      </c>
      <c r="H39" s="8" t="inlineStr">
        <is>
          <t>2.6</t>
        </is>
      </c>
      <c r="I39" s="21">
        <f>IFERROR(INDEX(Plan!$B$5:$B$76,MATCH(H39,Plan!$A$5:$A$76,0)),"—")</f>
        <v/>
      </c>
      <c r="J39" s="7" t="inlineStr"/>
    </row>
    <row r="40">
      <c r="A40" s="19" t="inlineStr">
        <is>
          <t>P-27</t>
        </is>
      </c>
      <c r="B40" s="4" t="inlineStr">
        <is>
          <t>Funcionalidad</t>
        </is>
      </c>
      <c r="C40" s="4" t="inlineStr">
        <is>
          <t>/ingresar/codigo</t>
        </is>
      </c>
      <c r="D40" s="7" t="inlineStr">
        <is>
          <t>«Reenviar código» con contador de 45 s; «Cambiar cédula» limpia la cookie</t>
        </is>
      </c>
      <c r="E40" s="7" t="inlineStr">
        <is>
          <t>ga-funcionalidad-botones</t>
        </is>
      </c>
      <c r="F40" s="8" t="inlineStr">
        <is>
          <t>Media</t>
        </is>
      </c>
      <c r="G40" s="8" t="inlineStr">
        <is>
          <t>Hecho</t>
        </is>
      </c>
      <c r="H40" s="8" t="inlineStr">
        <is>
          <t>2.6</t>
        </is>
      </c>
      <c r="I40" s="21">
        <f>IFERROR(INDEX(Plan!$B$5:$B$76,MATCH(H40,Plan!$A$5:$A$76,0)),"—")</f>
        <v/>
      </c>
      <c r="J40" s="7" t="inlineStr"/>
    </row>
    <row r="41">
      <c r="A41" s="19" t="inlineStr">
        <is>
          <t>P-29</t>
        </is>
      </c>
      <c r="B41" s="4" t="inlineStr">
        <is>
          <t>Funcionalidad</t>
        </is>
      </c>
      <c r="C41" s="4" t="inlineStr">
        <is>
          <t>/afiliacion</t>
        </is>
      </c>
      <c r="D41" s="7" t="inlineStr">
        <is>
          <t>Grados desde grados_credito, honeypot, errores y estado de carga</t>
        </is>
      </c>
      <c r="E41" s="7" t="inlineStr">
        <is>
          <t>ga-funcionalidad-botones</t>
        </is>
      </c>
      <c r="F41" s="8" t="inlineStr">
        <is>
          <t>Media</t>
        </is>
      </c>
      <c r="G41" s="8" t="inlineStr">
        <is>
          <t>Hecho</t>
        </is>
      </c>
      <c r="H41" s="8" t="inlineStr">
        <is>
          <t>2.9</t>
        </is>
      </c>
      <c r="I41" s="21">
        <f>IFERROR(INDEX(Plan!$B$5:$B$76,MATCH(H41,Plan!$A$5:$A$76,0)),"—")</f>
        <v/>
      </c>
      <c r="J41" s="7" t="inlineStr"/>
    </row>
    <row r="42">
      <c r="A42" s="19" t="inlineStr">
        <is>
          <t>P-33</t>
        </is>
      </c>
      <c r="B42" s="4" t="inlineStr">
        <is>
          <t>Funcionalidad</t>
        </is>
      </c>
      <c r="C42" s="4" t="inlineStr">
        <is>
          <t>/cuenta</t>
        </is>
      </c>
      <c r="D42" s="7" t="inlineStr">
        <is>
          <t>«Mis datos»: actualizar solo perfiles.telefono</t>
        </is>
      </c>
      <c r="E42" s="7" t="inlineStr">
        <is>
          <t>ga-funcionalidad-botones</t>
        </is>
      </c>
      <c r="F42" s="8" t="inlineStr">
        <is>
          <t>Media</t>
        </is>
      </c>
      <c r="G42" s="8" t="inlineStr">
        <is>
          <t>Hecho</t>
        </is>
      </c>
      <c r="H42" s="8" t="inlineStr">
        <is>
          <t>3.6</t>
        </is>
      </c>
      <c r="I42" s="21">
        <f>IFERROR(INDEX(Plan!$B$5:$B$76,MATCH(H42,Plan!$A$5:$A$76,0)),"—")</f>
        <v/>
      </c>
      <c r="J42" s="7" t="inlineStr">
        <is>
          <t>Con error, alinear «Guardar» con el campo desde 640 px.</t>
        </is>
      </c>
    </row>
    <row r="43">
      <c r="A43" s="19" t="inlineStr">
        <is>
          <t>P-74</t>
        </is>
      </c>
      <c r="B43" s="4" t="inlineStr">
        <is>
          <t>Funcionalidad</t>
        </is>
      </c>
      <c r="C43" s="4" t="inlineStr">
        <is>
          <t>/afiliacion</t>
        </is>
      </c>
      <c r="D43" s="7" t="inlineStr">
        <is>
          <t>Bug: esquemaAfiliacion no valida el cruce institución↔correo institucional si falla cualquier otro campo del formulario</t>
        </is>
      </c>
      <c r="E43" s="7" t="inlineStr">
        <is>
          <t>ga-funcionalidad-botones</t>
        </is>
      </c>
      <c r="F43" s="8" t="inlineStr">
        <is>
          <t>Media</t>
        </is>
      </c>
      <c r="G43" s="8" t="inlineStr">
        <is>
          <t>Hecho</t>
        </is>
      </c>
      <c r="H43" s="8" t="inlineStr">
        <is>
          <t>2.13</t>
        </is>
      </c>
      <c r="I43" s="21">
        <f>IFERROR(INDEX(Plan!$B$5:$B$76,MATCH(H43,Plan!$A$5:$A$76,0)),"—")</f>
        <v/>
      </c>
      <c r="J43" s="7" t="inlineStr">
        <is>
          <t>Reportado por ga-escritor-tests el 24-sep; reproducido en tests/unit/validaciones.test.ts y en tests/e2e/d-afiliacion.spec.ts (D4, casos bug: true). Falta correr npm run test:db (pgTAP), bloqueado por el permiso de la sandbox. Corregido por la sesión principal el 2026-09-24 (commit fedf620): superRefine con `when`; 308 unitarias, 96 e2e de afiliación y 222 pgTAP en verde.</t>
        </is>
      </c>
    </row>
    <row r="44">
      <c r="A44" s="19" t="inlineStr">
        <is>
          <t>P-89</t>
        </is>
      </c>
      <c r="B44" s="4" t="inlineStr">
        <is>
          <t>Funcionalidad</t>
        </is>
      </c>
      <c r="C44" s="4" t="inlineStr">
        <is>
          <t>Admin</t>
        </is>
      </c>
      <c r="D44" s="7" t="inlineStr">
        <is>
          <t>Cuenta de demostración para administradores en /admin/demo (pestaña «Demostración»)</t>
        </is>
      </c>
      <c r="E44" s="7" t="inlineStr">
        <is>
          <t>sesión principal</t>
        </is>
      </c>
      <c r="F44" s="8" t="inlineStr">
        <is>
          <t>Media</t>
        </is>
      </c>
      <c r="G44" s="8" t="inlineStr">
        <is>
          <t>Hecho</t>
        </is>
      </c>
      <c r="H44" s="8" t="inlineStr">
        <is>
          <t>4.9</t>
        </is>
      </c>
      <c r="I44" s="21">
        <f>IFERROR(INDEX(Plan!$B$5:$B$76,MATCH(H44,Plan!$A$5:$A$76,0)),"—")</f>
        <v/>
      </c>
      <c r="J44" s="7" t="inlineStr">
        <is>
          <t>25-sep: reutiliza la cuenta fantasma de /asesor/demo; lectura de grados compartida en lib/asesor/cargarPaquetesDemo.ts; un asesor no puede entrar. 25-sep: desplegado con el PR #2 (merge 2c19d02); confirmado por HTTP que /admin/demo redirige a /ingresar sin sesión. Falta que Sebas la confirme a ojo con su propia sesión.</t>
        </is>
      </c>
    </row>
    <row r="45">
      <c r="A45" s="19" t="inlineStr">
        <is>
          <t>P-30</t>
        </is>
      </c>
      <c r="B45" s="4" t="inlineStr">
        <is>
          <t>Funcionalidad</t>
        </is>
      </c>
      <c r="C45" s="4" t="inlineStr">
        <is>
          <t>/afiliacion/enviada</t>
        </is>
      </c>
      <c r="D45" s="7" t="inlineStr">
        <is>
          <t>Mostrar el correo real; si se entra directo, redirigir</t>
        </is>
      </c>
      <c r="E45" s="7" t="inlineStr">
        <is>
          <t>ga-funcionalidad-botones</t>
        </is>
      </c>
      <c r="F45" s="8" t="inlineStr">
        <is>
          <t>Baja</t>
        </is>
      </c>
      <c r="G45" s="8" t="inlineStr">
        <is>
          <t>Hecho</t>
        </is>
      </c>
      <c r="H45" s="8" t="inlineStr">
        <is>
          <t>2.10</t>
        </is>
      </c>
      <c r="I45" s="21">
        <f>IFERROR(INDEX(Plan!$B$5:$B$76,MATCH(H45,Plan!$A$5:$A$76,0)),"—")</f>
        <v/>
      </c>
      <c r="J45" s="7" t="inlineStr"/>
    </row>
    <row r="46">
      <c r="A46" s="19" t="inlineStr">
        <is>
          <t>P-34</t>
        </is>
      </c>
      <c r="B46" s="4" t="inlineStr">
        <is>
          <t>Funcionalidad</t>
        </is>
      </c>
      <c r="C46" s="4" t="inlineStr">
        <is>
          <t>Landing</t>
        </is>
      </c>
      <c r="D46" s="7" t="inlineStr">
        <is>
          <t>«Mi cuenta», «Ingresar», «Solicitar crédito», «Ver beneficios» → /cuenta con sesión</t>
        </is>
      </c>
      <c r="E46" s="7" t="inlineStr">
        <is>
          <t>ga-funcionalidad-botones</t>
        </is>
      </c>
      <c r="F46" s="8" t="inlineStr">
        <is>
          <t>Baja</t>
        </is>
      </c>
      <c r="G46" s="8" t="inlineStr">
        <is>
          <t>Hecho</t>
        </is>
      </c>
      <c r="H46" s="8" t="inlineStr">
        <is>
          <t>2.8</t>
        </is>
      </c>
      <c r="I46" s="21">
        <f>IFERROR(INDEX(Plan!$B$5:$B$76,MATCH(H46,Plan!$A$5:$A$76,0)),"—")</f>
        <v/>
      </c>
      <c r="J46" s="7" t="inlineStr">
        <is>
          <t>Convenios fijos en la landing por ahora.</t>
        </is>
      </c>
    </row>
    <row r="47">
      <c r="A47" s="19" t="inlineStr">
        <is>
          <t>P-14</t>
        </is>
      </c>
      <c r="B47" s="4" t="inlineStr">
        <is>
          <t>Dato de la cooperativa</t>
        </is>
      </c>
      <c r="C47" s="4" t="inlineStr">
        <is>
          <t>Legal</t>
        </is>
      </c>
      <c r="D47" s="7" t="inlineStr">
        <is>
          <t>Texto de la política de datos</t>
        </is>
      </c>
      <c r="E47" s="7" t="inlineStr">
        <is>
          <t>Cooperativa</t>
        </is>
      </c>
      <c r="F47" s="8" t="inlineStr">
        <is>
          <t>Alta</t>
        </is>
      </c>
      <c r="G47" s="8" t="inlineStr">
        <is>
          <t>Pendiente</t>
        </is>
      </c>
      <c r="H47" s="8" t="inlineStr">
        <is>
          <t>5.4</t>
        </is>
      </c>
      <c r="I47" s="21">
        <f>IFERROR(INDEX(Plan!$B$5:$B$76,MATCH(H47,Plan!$A$5:$A$76,0)),"—")</f>
        <v/>
      </c>
      <c r="J47" s="7" t="inlineStr">
        <is>
          <t>Ruta /politica-de-datos ya existe. 24-sep: borrador completo con 10 secciones (Ley 1581, Decreto 1377) y la autorización de datos sensibles para fotos y selfie; los datos que faltan quedan resaltados en la página con &lt;Pendiente&gt;. Faltan de la cooperativa: NIT/dirección/ciudad (P-75), fecha de vigencia (P-76), país o región de los servidores -Supabase, Vercel, Resend- (P-77), alternativa de verificación sin selfie (P-78), plazos de conservación de fotos y demás datos (P-79, ligado a P-63) y si reportan a centrales de riesgo Ley 1266 (P-80); y falta revisión de un abogado (P-81). Bloquea el despliegue.</t>
        </is>
      </c>
    </row>
    <row r="48">
      <c r="A48" s="19" t="inlineStr">
        <is>
          <t>P-75</t>
        </is>
      </c>
      <c r="B48" s="4" t="inlineStr">
        <is>
          <t>Dato de la cooperativa</t>
        </is>
      </c>
      <c r="C48" s="4" t="inlineStr">
        <is>
          <t>Legal</t>
        </is>
      </c>
      <c r="D48" s="7" t="inlineStr">
        <is>
          <t>NIT, dirección y ciudad de la cooperativa para la política de datos</t>
        </is>
      </c>
      <c r="E48" s="7" t="inlineStr">
        <is>
          <t>Cooperativa</t>
        </is>
      </c>
      <c r="F48" s="8" t="inlineStr">
        <is>
          <t>Alta</t>
        </is>
      </c>
      <c r="G48" s="8" t="inlineStr">
        <is>
          <t>Pendiente</t>
        </is>
      </c>
      <c r="H48" s="8" t="inlineStr">
        <is>
          <t>5.4</t>
        </is>
      </c>
      <c r="I48" s="21">
        <f>IFERROR(INDEX(Plan!$B$5:$B$76,MATCH(H48,Plan!$A$5:$A$76,0)),"—")</f>
        <v/>
      </c>
      <c r="J48" s="7" t="inlineStr">
        <is>
          <t>24-sep: reportado por la sesión principal, necesario para publicar /politica-de-datos.</t>
        </is>
      </c>
    </row>
    <row r="49">
      <c r="A49" s="19" t="inlineStr">
        <is>
          <t>P-76</t>
        </is>
      </c>
      <c r="B49" s="4" t="inlineStr">
        <is>
          <t>Dato de la cooperativa</t>
        </is>
      </c>
      <c r="C49" s="4" t="inlineStr">
        <is>
          <t>Legal</t>
        </is>
      </c>
      <c r="D49" s="7" t="inlineStr">
        <is>
          <t>Fecha de vigencia de la política de datos</t>
        </is>
      </c>
      <c r="E49" s="7" t="inlineStr">
        <is>
          <t>Cooperativa</t>
        </is>
      </c>
      <c r="F49" s="8" t="inlineStr">
        <is>
          <t>Alta</t>
        </is>
      </c>
      <c r="G49" s="8" t="inlineStr">
        <is>
          <t>Pendiente</t>
        </is>
      </c>
      <c r="H49" s="8" t="inlineStr">
        <is>
          <t>5.4</t>
        </is>
      </c>
      <c r="I49" s="21">
        <f>IFERROR(INDEX(Plan!$B$5:$B$76,MATCH(H49,Plan!$A$5:$A$76,0)),"—")</f>
        <v/>
      </c>
      <c r="J49" s="7" t="inlineStr">
        <is>
          <t>24-sep: reportado por la sesión principal.</t>
        </is>
      </c>
    </row>
    <row r="50">
      <c r="A50" s="19" t="inlineStr">
        <is>
          <t>P-77</t>
        </is>
      </c>
      <c r="B50" s="4" t="inlineStr">
        <is>
          <t>Dato de la cooperativa</t>
        </is>
      </c>
      <c r="C50" s="4" t="inlineStr">
        <is>
          <t>Legal</t>
        </is>
      </c>
      <c r="D50" s="7" t="inlineStr">
        <is>
          <t>País o región de los servidores (Supabase, Vercel, Resend)</t>
        </is>
      </c>
      <c r="E50" s="7" t="inlineStr">
        <is>
          <t>Cooperativa</t>
        </is>
      </c>
      <c r="F50" s="8" t="inlineStr">
        <is>
          <t>Alta</t>
        </is>
      </c>
      <c r="G50" s="8" t="inlineStr">
        <is>
          <t>Pendiente</t>
        </is>
      </c>
      <c r="H50" s="8" t="inlineStr">
        <is>
          <t>5.4</t>
        </is>
      </c>
      <c r="I50" s="21">
        <f>IFERROR(INDEX(Plan!$B$5:$B$76,MATCH(H50,Plan!$A$5:$A$76,0)),"—")</f>
        <v/>
      </c>
      <c r="J50" s="7" t="inlineStr">
        <is>
          <t>24-sep: reportado por la sesión principal, dato exigido por la Ley 1581 para informar transferencia internacional de datos.</t>
        </is>
      </c>
    </row>
    <row r="51">
      <c r="A51" s="19" t="inlineStr">
        <is>
          <t>P-78</t>
        </is>
      </c>
      <c r="B51" s="4" t="inlineStr">
        <is>
          <t>Dato de la cooperativa</t>
        </is>
      </c>
      <c r="C51" s="4" t="inlineStr">
        <is>
          <t>Legal</t>
        </is>
      </c>
      <c r="D51" s="7" t="inlineStr">
        <is>
          <t>Alternativa de verificación para quien no quiera subir la selfie</t>
        </is>
      </c>
      <c r="E51" s="7" t="inlineStr">
        <is>
          <t>Cooperativa</t>
        </is>
      </c>
      <c r="F51" s="8" t="inlineStr">
        <is>
          <t>Alta</t>
        </is>
      </c>
      <c r="G51" s="8" t="inlineStr">
        <is>
          <t>Pendiente</t>
        </is>
      </c>
      <c r="H51" s="8" t="inlineStr">
        <is>
          <t>5.4</t>
        </is>
      </c>
      <c r="I51" s="21">
        <f>IFERROR(INDEX(Plan!$B$5:$B$76,MATCH(H51,Plan!$A$5:$A$76,0)),"—")</f>
        <v/>
      </c>
      <c r="J51" s="7" t="inlineStr">
        <is>
          <t>24-sep: reportado por la sesión principal.</t>
        </is>
      </c>
    </row>
    <row r="52">
      <c r="A52" s="19" t="inlineStr">
        <is>
          <t>P-79</t>
        </is>
      </c>
      <c r="B52" s="4" t="inlineStr">
        <is>
          <t>Dato de la cooperativa</t>
        </is>
      </c>
      <c r="C52" s="4" t="inlineStr">
        <is>
          <t>Legal</t>
        </is>
      </c>
      <c r="D52" s="7" t="inlineStr">
        <is>
          <t>Plazos de conservación de los datos (fotos de rechazados y de asociados, y demás datos)</t>
        </is>
      </c>
      <c r="E52" s="7" t="inlineStr">
        <is>
          <t>Cooperativa</t>
        </is>
      </c>
      <c r="F52" s="8" t="inlineStr">
        <is>
          <t>Alta</t>
        </is>
      </c>
      <c r="G52" s="8" t="inlineStr">
        <is>
          <t>Pendiente</t>
        </is>
      </c>
      <c r="H52" s="8" t="inlineStr">
        <is>
          <t>5.4</t>
        </is>
      </c>
      <c r="I52" s="21">
        <f>IFERROR(INDEX(Plan!$B$5:$B$76,MATCH(H52,Plan!$A$5:$A$76,0)),"—")</f>
        <v/>
      </c>
      <c r="J52" s="7" t="inlineStr">
        <is>
          <t>24-sep: reportado por la sesión principal; el plazo de las fotos es el mismo que decida P-63 (borrado automático de fotos rechazadas, 5.10).</t>
        </is>
      </c>
    </row>
    <row r="53">
      <c r="A53" s="19" t="inlineStr">
        <is>
          <t>P-46</t>
        </is>
      </c>
      <c r="B53" s="4" t="inlineStr">
        <is>
          <t>Dato de la cooperativa</t>
        </is>
      </c>
      <c r="C53" s="4" t="inlineStr">
        <is>
          <t>/afiliacion</t>
        </is>
      </c>
      <c r="D53" s="7" t="inlineStr">
        <is>
          <t>Nombres oficiales de los grados</t>
        </is>
      </c>
      <c r="E53" s="7" t="inlineStr">
        <is>
          <t>Cooperativa</t>
        </is>
      </c>
      <c r="F53" s="8" t="inlineStr">
        <is>
          <t>Media</t>
        </is>
      </c>
      <c r="G53" s="8" t="inlineStr">
        <is>
          <t>Pendiente</t>
        </is>
      </c>
      <c r="H53" s="8" t="inlineStr">
        <is>
          <t>5.3</t>
        </is>
      </c>
      <c r="I53" s="21">
        <f>IFERROR(INDEX(Plan!$B$5:$B$76,MATCH(H53,Plan!$A$5:$A$76,0)),"—")</f>
        <v/>
      </c>
      <c r="J53" s="7" t="inlineStr">
        <is>
          <t>Se usan en el select «Grado» (grados_credito).</t>
        </is>
      </c>
    </row>
    <row r="54">
      <c r="A54" s="19" t="inlineStr">
        <is>
          <t>P-47</t>
        </is>
      </c>
      <c r="B54" s="4" t="inlineStr">
        <is>
          <t>Dato de la cooperativa</t>
        </is>
      </c>
      <c r="C54" s="4" t="inlineStr">
        <is>
          <t>/cuenta</t>
        </is>
      </c>
      <c r="D54" s="7" t="inlineStr">
        <is>
          <t>Estado de desembolso (cómo y cuándo se informa al asociado)</t>
        </is>
      </c>
      <c r="E54" s="7" t="inlineStr">
        <is>
          <t>Cooperativa</t>
        </is>
      </c>
      <c r="F54" s="8" t="inlineStr">
        <is>
          <t>Media</t>
        </is>
      </c>
      <c r="G54" s="8" t="inlineStr">
        <is>
          <t>Pendiente</t>
        </is>
      </c>
      <c r="H54" s="8" t="inlineStr">
        <is>
          <t>5.3</t>
        </is>
      </c>
      <c r="I54" s="21">
        <f>IFERROR(INDEX(Plan!$B$5:$B$76,MATCH(H54,Plan!$A$5:$A$76,0)),"—")</f>
        <v/>
      </c>
      <c r="J54" s="7" t="inlineStr">
        <is>
          <t>Reportado por ga-funcionalidad-botones el 23-sep. 25-sep: también identificado por ga-auditor-supabase en la auditoría de backend del rediseño C+ (misma pregunta, no se duplica).</t>
        </is>
      </c>
    </row>
    <row r="55">
      <c r="A55" s="19" t="inlineStr">
        <is>
          <t>P-80</t>
        </is>
      </c>
      <c r="B55" s="4" t="inlineStr">
        <is>
          <t>Dato de la cooperativa</t>
        </is>
      </c>
      <c r="C55" s="4" t="inlineStr">
        <is>
          <t>Legal</t>
        </is>
      </c>
      <c r="D55" s="7" t="inlineStr">
        <is>
          <t>Si van a reportar a centrales de riesgo (Ley 1266, autorización aparte)</t>
        </is>
      </c>
      <c r="E55" s="7" t="inlineStr">
        <is>
          <t>Cooperativa</t>
        </is>
      </c>
      <c r="F55" s="8" t="inlineStr">
        <is>
          <t>Media</t>
        </is>
      </c>
      <c r="G55" s="8" t="inlineStr">
        <is>
          <t>Pendiente</t>
        </is>
      </c>
      <c r="H55" s="8" t="inlineStr">
        <is>
          <t>5.4</t>
        </is>
      </c>
      <c r="I55" s="21">
        <f>IFERROR(INDEX(Plan!$B$5:$B$76,MATCH(H55,Plan!$A$5:$A$76,0)),"—")</f>
        <v/>
      </c>
      <c r="J55" s="7" t="inlineStr">
        <is>
          <t>24-sep: reportado por la sesión principal.</t>
        </is>
      </c>
    </row>
    <row r="56">
      <c r="A56" s="19" t="inlineStr">
        <is>
          <t>P-90</t>
        </is>
      </c>
      <c r="B56" s="4" t="inlineStr">
        <is>
          <t>Dato de la cooperativa</t>
        </is>
      </c>
      <c r="C56" s="4" t="inlineStr">
        <is>
          <t>Backend C+</t>
        </is>
      </c>
      <c r="D56" s="7" t="inlineStr">
        <is>
          <t>Origen de la fecha del primer descuento del embargo solidario</t>
        </is>
      </c>
      <c r="E56" s="7" t="inlineStr">
        <is>
          <t>Cooperativa</t>
        </is>
      </c>
      <c r="F56" s="8" t="inlineStr">
        <is>
          <t>Media</t>
        </is>
      </c>
      <c r="G56" s="8" t="inlineStr">
        <is>
          <t>Pendiente</t>
        </is>
      </c>
      <c r="H56" s="8" t="inlineStr">
        <is>
          <t>1.8</t>
        </is>
      </c>
      <c r="I56" s="21">
        <f>IFERROR(INDEX(Plan!$B$5:$B$76,MATCH(H56,Plan!$A$5:$A$76,0)),"—")</f>
        <v/>
      </c>
      <c r="J56" s="7" t="inlineStr">
        <is>
          <t>25-sep: pregunta abierta del informe de ga-auditor-supabase (docs/auditorias/2026-09-25-backend-rediseno-c-plus.md).</t>
        </is>
      </c>
    </row>
    <row r="57">
      <c r="A57" s="19" t="inlineStr">
        <is>
          <t>P-91</t>
        </is>
      </c>
      <c r="B57" s="4" t="inlineStr">
        <is>
          <t>Dato de la cooperativa</t>
        </is>
      </c>
      <c r="C57" s="4" t="inlineStr">
        <is>
          <t>Backend C+</t>
        </is>
      </c>
      <c r="D57" s="7" t="inlineStr">
        <is>
          <t>Proceso para dar de baja a un asociado</t>
        </is>
      </c>
      <c r="E57" s="7" t="inlineStr">
        <is>
          <t>Cooperativa</t>
        </is>
      </c>
      <c r="F57" s="8" t="inlineStr">
        <is>
          <t>Media</t>
        </is>
      </c>
      <c r="G57" s="8" t="inlineStr">
        <is>
          <t>Pendiente</t>
        </is>
      </c>
      <c r="H57" s="8" t="inlineStr">
        <is>
          <t>1.8</t>
        </is>
      </c>
      <c r="I57" s="21">
        <f>IFERROR(INDEX(Plan!$B$5:$B$76,MATCH(H57,Plan!$A$5:$A$76,0)),"—")</f>
        <v/>
      </c>
      <c r="J57" s="7" t="inlineStr">
        <is>
          <t>25-sep: pregunta abierta del informe de ga-auditor-supabase; relacionada con la migración de institución/activo en perfiles.</t>
        </is>
      </c>
    </row>
    <row r="58">
      <c r="A58" s="19" t="inlineStr">
        <is>
          <t>P-92</t>
        </is>
      </c>
      <c r="B58" s="4" t="inlineStr">
        <is>
          <t>Dato de la cooperativa</t>
        </is>
      </c>
      <c r="C58" s="4" t="inlineStr">
        <is>
          <t>Backend C+</t>
        </is>
      </c>
      <c r="D58" s="7" t="inlineStr">
        <is>
          <t>Quién dispara el correo del aviso del sorteo</t>
        </is>
      </c>
      <c r="E58" s="7" t="inlineStr">
        <is>
          <t>Cooperativa</t>
        </is>
      </c>
      <c r="F58" s="8" t="inlineStr">
        <is>
          <t>Media</t>
        </is>
      </c>
      <c r="G58" s="8" t="inlineStr">
        <is>
          <t>Pendiente</t>
        </is>
      </c>
      <c r="H58" s="8" t="inlineStr">
        <is>
          <t>1.8</t>
        </is>
      </c>
      <c r="I58" s="21">
        <f>IFERROR(INDEX(Plan!$B$5:$B$76,MATCH(H58,Plan!$A$5:$A$76,0)),"—")</f>
        <v/>
      </c>
      <c r="J58" s="7" t="inlineStr">
        <is>
          <t>25-sep: pregunta abierta del informe de ga-auditor-supabase; relacionada con la migración perfiles_avisar_sorteo.</t>
        </is>
      </c>
    </row>
    <row r="59">
      <c r="A59" s="19" t="inlineStr">
        <is>
          <t>P-93</t>
        </is>
      </c>
      <c r="B59" s="4" t="inlineStr">
        <is>
          <t>Dato de la cooperativa</t>
        </is>
      </c>
      <c r="C59" s="4" t="inlineStr">
        <is>
          <t>Landing C+</t>
        </is>
      </c>
      <c r="D59" s="7" t="inlineStr">
        <is>
          <t>Confirmar las cifras de la landing C+ (+200 asociados, 4 horas, 3 años, 5 sedes con sus ciudades, embargo a 36 meses)</t>
        </is>
      </c>
      <c r="E59" s="7" t="inlineStr">
        <is>
          <t>Cooperativa</t>
        </is>
      </c>
      <c r="F59" s="8" t="inlineStr">
        <is>
          <t>Media</t>
        </is>
      </c>
      <c r="G59" s="8" t="inlineStr">
        <is>
          <t>Pendiente</t>
        </is>
      </c>
      <c r="H59" s="8" t="inlineStr">
        <is>
          <t>2.14</t>
        </is>
      </c>
      <c r="I59" s="21">
        <f>IFERROR(INDEX(Plan!$B$5:$B$76,MATCH(H59,Plan!$A$5:$A$76,0)),"—")</f>
        <v/>
      </c>
      <c r="J59" s="7" t="inlineStr">
        <is>
          <t>25-sep: cifras usadas en el nuevo hero/servicios del rediseño C+; falta confirmarlas con la cooperativa.</t>
        </is>
      </c>
    </row>
    <row r="60">
      <c r="A60" s="19" t="inlineStr">
        <is>
          <t>P-16</t>
        </is>
      </c>
      <c r="B60" s="4" t="inlineStr">
        <is>
          <t>Dato de la cooperativa</t>
        </is>
      </c>
      <c r="C60" s="4" t="inlineStr">
        <is>
          <t>Landing</t>
        </is>
      </c>
      <c r="D60" s="7" t="inlineStr">
        <is>
          <t>Fotos reales, cifras y testimonios</t>
        </is>
      </c>
      <c r="E60" s="7" t="inlineStr">
        <is>
          <t>Cooperativa</t>
        </is>
      </c>
      <c r="F60" s="8" t="inlineStr">
        <is>
          <t>Baja</t>
        </is>
      </c>
      <c r="G60" s="8" t="inlineStr">
        <is>
          <t>Pendiente</t>
        </is>
      </c>
      <c r="H60" s="8" t="inlineStr">
        <is>
          <t>5.3</t>
        </is>
      </c>
      <c r="I60" s="21">
        <f>IFERROR(INDEX(Plan!$B$5:$B$76,MATCH(H60,Plan!$A$5:$A$76,0)),"—")</f>
        <v/>
      </c>
      <c r="J60" s="7" t="inlineStr">
        <is>
          <t>23-sep: los espacios de foto de la landing ya tienen diseño de marca (EspacioFoto). Para poner la foto real se cambia `null` por { src, alt }. Faltan las fotos de la cooperativa.</t>
        </is>
      </c>
    </row>
    <row r="61">
      <c r="A61" s="19" t="inlineStr">
        <is>
          <t>P-18</t>
        </is>
      </c>
      <c r="B61" s="4" t="inlineStr">
        <is>
          <t>Dato de la cooperativa</t>
        </is>
      </c>
      <c r="C61" s="4" t="inlineStr">
        <is>
          <t>Asociados</t>
        </is>
      </c>
      <c r="D61" s="7" t="inlineStr">
        <is>
          <t>Correos reales de los asociados (Excel de importación)</t>
        </is>
      </c>
      <c r="E61" s="7" t="inlineStr">
        <is>
          <t>Cooperativa</t>
        </is>
      </c>
      <c r="F61" s="8" t="inlineStr">
        <is>
          <t>Alta</t>
        </is>
      </c>
      <c r="G61" s="8" t="inlineStr">
        <is>
          <t>Hecho</t>
        </is>
      </c>
      <c r="H61" s="8" t="inlineStr">
        <is>
          <t>4.4</t>
        </is>
      </c>
      <c r="I61" s="21">
        <f>IFERROR(INDEX(Plan!$B$5:$B$76,MATCH(H61,Plan!$A$5:$A$76,0)),"—")</f>
        <v/>
      </c>
      <c r="J61" s="7" t="inlineStr">
        <is>
          <t>Ya no aplica: decisión de la cooperativa 2026-09-24, no habrá importación de Excel. El ingreso ahora se resuelve con la afiliación v2 (correo institucional propio) más aprobación en /admin.</t>
        </is>
      </c>
    </row>
    <row r="62">
      <c r="A62" s="19" t="inlineStr">
        <is>
          <t>P-10</t>
        </is>
      </c>
      <c r="B62" s="4" t="inlineStr">
        <is>
          <t>Dato de la cooperativa</t>
        </is>
      </c>
      <c r="C62" s="4" t="inlineStr">
        <is>
          <t>Configuración</t>
        </is>
      </c>
      <c r="D62" s="7" t="inlineStr">
        <is>
          <t>Número de WhatsApp (NEXT_PUBLIC_WHATSAPP)</t>
        </is>
      </c>
      <c r="E62" s="7" t="inlineStr">
        <is>
          <t>Cooperativa</t>
        </is>
      </c>
      <c r="F62" s="8" t="inlineStr">
        <is>
          <t>Media</t>
        </is>
      </c>
      <c r="G62" s="8" t="inlineStr">
        <is>
          <t>Hecho</t>
        </is>
      </c>
      <c r="H62" s="8" t="inlineStr">
        <is>
          <t>5.3</t>
        </is>
      </c>
      <c r="I62" s="21">
        <f>IFERROR(INDEX(Plan!$B$5:$B$76,MATCH(H62,Plan!$A$5:$A$76,0)),"—")</f>
        <v/>
      </c>
      <c r="J62" s="7" t="inlineStr">
        <is>
          <t>24-sep: 311 724 1942.</t>
        </is>
      </c>
    </row>
    <row r="63">
      <c r="A63" s="19" t="inlineStr">
        <is>
          <t>P-11</t>
        </is>
      </c>
      <c r="B63" s="4" t="inlineStr">
        <is>
          <t>Dato de la cooperativa</t>
        </is>
      </c>
      <c r="C63" s="4" t="inlineStr">
        <is>
          <t>Configuración</t>
        </is>
      </c>
      <c r="D63" s="7" t="inlineStr">
        <is>
          <t>Días hábiles de respuesta (DIAS_RESPUESTA)</t>
        </is>
      </c>
      <c r="E63" s="7" t="inlineStr">
        <is>
          <t>Cooperativa</t>
        </is>
      </c>
      <c r="F63" s="8" t="inlineStr">
        <is>
          <t>Media</t>
        </is>
      </c>
      <c r="G63" s="8" t="inlineStr">
        <is>
          <t>Hecho</t>
        </is>
      </c>
      <c r="H63" s="8" t="inlineStr">
        <is>
          <t>5.3</t>
        </is>
      </c>
      <c r="I63" s="21">
        <f>IFERROR(INDEX(Plan!$B$5:$B$76,MATCH(H63,Plan!$A$5:$A$76,0)),"—")</f>
        <v/>
      </c>
      <c r="J63" s="7" t="inlineStr">
        <is>
          <t>24-sep: la cooperativa dio el tiempo de respuesta como «4 horas o menos» (ver P-17); se usa ese dato en vez de días hábiles.</t>
        </is>
      </c>
    </row>
    <row r="64">
      <c r="A64" s="19" t="inlineStr">
        <is>
          <t>P-12</t>
        </is>
      </c>
      <c r="B64" s="4" t="inlineStr">
        <is>
          <t>Dato de la cooperativa</t>
        </is>
      </c>
      <c r="C64" s="4" t="inlineStr">
        <is>
          <t>Configuración</t>
        </is>
      </c>
      <c r="D64" s="7" t="inlineStr">
        <is>
          <t>Correo de contacto (CORREO_CONTACTO)</t>
        </is>
      </c>
      <c r="E64" s="7" t="inlineStr">
        <is>
          <t>Cooperativa</t>
        </is>
      </c>
      <c r="F64" s="8" t="inlineStr">
        <is>
          <t>Media</t>
        </is>
      </c>
      <c r="G64" s="8" t="inlineStr">
        <is>
          <t>Hecho</t>
        </is>
      </c>
      <c r="H64" s="8" t="inlineStr">
        <is>
          <t>5.3</t>
        </is>
      </c>
      <c r="I64" s="21">
        <f>IFERROR(INDEX(Plan!$B$5:$B$76,MATCH(H64,Plan!$A$5:$A$76,0)),"—")</f>
        <v/>
      </c>
      <c r="J64" s="7" t="inlineStr">
        <is>
          <t>24-sep: soporte@greenallianceco.com.</t>
        </is>
      </c>
    </row>
    <row r="65">
      <c r="A65" s="19" t="inlineStr">
        <is>
          <t>P-13</t>
        </is>
      </c>
      <c r="B65" s="4" t="inlineStr">
        <is>
          <t>Dato de la cooperativa</t>
        </is>
      </c>
      <c r="C65" s="4" t="inlineStr">
        <is>
          <t>Configuración</t>
        </is>
      </c>
      <c r="D65" s="7" t="inlineStr">
        <is>
          <t>Texto de vigilancia de Supersolidaria (TEXTO_VIGILANCIA)</t>
        </is>
      </c>
      <c r="E65" s="7" t="inlineStr">
        <is>
          <t>Cooperativa</t>
        </is>
      </c>
      <c r="F65" s="8" t="inlineStr">
        <is>
          <t>Media</t>
        </is>
      </c>
      <c r="G65" s="8" t="inlineStr">
        <is>
          <t>Hecho</t>
        </is>
      </c>
      <c r="H65" s="8" t="inlineStr">
        <is>
          <t>5.3</t>
        </is>
      </c>
      <c r="I65" s="21">
        <f>IFERROR(INDEX(Plan!$B$5:$B$76,MATCH(H65,Plan!$A$5:$A$76,0)),"—")</f>
        <v/>
      </c>
      <c r="J65" s="7" t="inlineStr">
        <is>
          <t>25-sep: Sebas confirmó que la cooperativa está vigilada por la Supersolidaria; TEXTO_VIGILANCIA pasa a «Vigilada por Supersolidaria» en local (falta desplegar).</t>
        </is>
      </c>
    </row>
    <row r="66">
      <c r="A66" s="19" t="inlineStr">
        <is>
          <t>P-15</t>
        </is>
      </c>
      <c r="B66" s="4" t="inlineStr">
        <is>
          <t>Dato de la cooperativa</t>
        </is>
      </c>
      <c r="C66" s="4" t="inlineStr">
        <is>
          <t>/cuenta</t>
        </is>
      </c>
      <c r="D66" s="7" t="inlineStr">
        <is>
          <t>Destino de «Nueva solicitud» (nav y acceso rápido)</t>
        </is>
      </c>
      <c r="E66" s="7" t="inlineStr">
        <is>
          <t>Yo</t>
        </is>
      </c>
      <c r="F66" s="8" t="inlineStr">
        <is>
          <t>Media</t>
        </is>
      </c>
      <c r="G66" s="8" t="inlineStr">
        <is>
          <t>Hecho</t>
        </is>
      </c>
      <c r="H66" s="8" t="inlineStr">
        <is>
          <t>3.7</t>
        </is>
      </c>
      <c r="I66" s="21">
        <f>IFERROR(INDEX(Plan!$B$5:$B$76,MATCH(H66,Plan!$A$5:$A$76,0)),"—")</f>
        <v/>
      </c>
      <c r="J66" s="7" t="inlineStr">
        <is>
          <t>Hoy es href="#".</t>
        </is>
      </c>
    </row>
    <row r="67">
      <c r="A67" s="19" t="inlineStr">
        <is>
          <t>P-17</t>
        </is>
      </c>
      <c r="B67" s="4" t="inlineStr">
        <is>
          <t>Dato de la cooperativa</t>
        </is>
      </c>
      <c r="C67" s="4" t="inlineStr">
        <is>
          <t>Landing</t>
        </is>
      </c>
      <c r="D67" s="7" t="inlineStr">
        <is>
          <t>Tiempo de respuesta real ([TIEMPO] y [T])</t>
        </is>
      </c>
      <c r="E67" s="7" t="inlineStr">
        <is>
          <t>Cooperativa</t>
        </is>
      </c>
      <c r="F67" s="8" t="inlineStr">
        <is>
          <t>Baja</t>
        </is>
      </c>
      <c r="G67" s="8" t="inlineStr">
        <is>
          <t>Hecho</t>
        </is>
      </c>
      <c r="H67" s="8" t="inlineStr">
        <is>
          <t>5.3</t>
        </is>
      </c>
      <c r="I67" s="21">
        <f>IFERROR(INDEX(Plan!$B$5:$B$76,MATCH(H67,Plan!$A$5:$A$76,0)),"—")</f>
        <v/>
      </c>
      <c r="J67" s="7" t="inlineStr">
        <is>
          <t>24-sep: «4 horas o menos».</t>
        </is>
      </c>
    </row>
    <row r="68">
      <c r="A68" s="19" t="inlineStr">
        <is>
          <t>P-58</t>
        </is>
      </c>
      <c r="B68" s="4" t="inlineStr">
        <is>
          <t>Verificación y cierre</t>
        </is>
      </c>
      <c r="C68" s="4" t="inlineStr">
        <is>
          <t>Pruebas</t>
        </is>
      </c>
      <c r="D68" s="7" t="inlineStr">
        <is>
          <t>Actualizar tests/e2e a la afiliación v2 y a la nueva máscara de correo</t>
        </is>
      </c>
      <c r="E68" s="7" t="inlineStr">
        <is>
          <t>ga-escritor-tests</t>
        </is>
      </c>
      <c r="F68" s="8" t="inlineStr">
        <is>
          <t>Alta</t>
        </is>
      </c>
      <c r="G68" s="8" t="inlineStr">
        <is>
          <t>En curso</t>
        </is>
      </c>
      <c r="H68" s="8" t="inlineStr">
        <is>
          <t>6.1</t>
        </is>
      </c>
      <c r="I68" s="21">
        <f>IFERROR(INDEX(Plan!$B$5:$B$76,MATCH(H68,Plan!$A$5:$A$76,0)),"—")</f>
        <v/>
      </c>
      <c r="J68" s="7" t="inlineStr">
        <is>
          <t>d-afiliacion.spec.ts usa el formulario viejo (nombres y apellidos, unidad) y hace falta reescribirlo entero para institución/Nequi/asesor/fotos (k-roles.spec.ts ya cubre un caso feliz v2 pero no reemplaza la cobertura de D). 24-sep: ga-escritor-tests lo reescribió entero (48 pruebas × 2 proyectos); 92/96 pasan, 4 fallan por un bug real de la app (ver P-74), no de la prueba. b-ingreso.spec.ts, i-despliegue.spec.ts y j-produccion.spec.ts siguen con el formato viejo de máscara de correo y dominios (formato nuevo xx•••@yy•••.co); ese trabajo pasa a Carlos Pardo (ver P-71, 6.15). Falta correr npm run test:db (pgTAP), bloqueado por el permiso de la sandbox. Actualización: el bug de P-74 ya está corregido y d-afiliacion pasa 96/96; pgTAP 222/222 corrido por la sesión principal.</t>
        </is>
      </c>
    </row>
    <row r="69">
      <c r="A69" s="19" t="inlineStr">
        <is>
          <t>P-42</t>
        </is>
      </c>
      <c r="B69" s="4" t="inlineStr">
        <is>
          <t>Verificación y cierre</t>
        </is>
      </c>
      <c r="C69" s="4" t="inlineStr">
        <is>
          <t>Despliegue</t>
        </is>
      </c>
      <c r="D69" s="7" t="inlineStr">
        <is>
          <t>Subir a GitHub y desplegar en Vercel</t>
        </is>
      </c>
      <c r="E69" s="7" t="inlineStr">
        <is>
          <t>Yo</t>
        </is>
      </c>
      <c r="F69" s="8" t="inlineStr">
        <is>
          <t>Alta</t>
        </is>
      </c>
      <c r="G69" s="8" t="inlineStr">
        <is>
          <t>Pendiente</t>
        </is>
      </c>
      <c r="H69" s="8" t="inlineStr">
        <is>
          <t>6.5</t>
        </is>
      </c>
      <c r="I69" s="21">
        <f>IFERROR(INDEX(Plan!$B$5:$B$76,MATCH(H69,Plan!$A$5:$A$76,0)),"—")</f>
        <v/>
      </c>
      <c r="J69" s="7" t="inlineStr"/>
    </row>
    <row r="70">
      <c r="A70" s="19" t="inlineStr">
        <is>
          <t>P-81</t>
        </is>
      </c>
      <c r="B70" s="4" t="inlineStr">
        <is>
          <t>Verificación y cierre</t>
        </is>
      </c>
      <c r="C70" s="4" t="inlineStr">
        <is>
          <t>Legal</t>
        </is>
      </c>
      <c r="D70" s="7" t="inlineStr">
        <is>
          <t>Revisión de la política de datos por un abogado</t>
        </is>
      </c>
      <c r="E70" s="7" t="inlineStr">
        <is>
          <t>Sebas</t>
        </is>
      </c>
      <c r="F70" s="8" t="inlineStr">
        <is>
          <t>Alta</t>
        </is>
      </c>
      <c r="G70" s="8" t="inlineStr">
        <is>
          <t>Pendiente</t>
        </is>
      </c>
      <c r="H70" s="8" t="inlineStr">
        <is>
          <t>5.4</t>
        </is>
      </c>
      <c r="I70" s="21">
        <f>IFERROR(INDEX(Plan!$B$5:$B$76,MATCH(H70,Plan!$A$5:$A$76,0)),"—")</f>
        <v/>
      </c>
      <c r="J70" s="7" t="inlineStr">
        <is>
          <t>24-sep: reportado por la sesión principal; falta antes de publicar /politica-de-datos.</t>
        </is>
      </c>
    </row>
    <row r="71">
      <c r="A71" s="19" t="inlineStr">
        <is>
          <t>P-70</t>
        </is>
      </c>
      <c r="B71" s="4" t="inlineStr">
        <is>
          <t>Verificación y cierre</t>
        </is>
      </c>
      <c r="C71" s="4" t="inlineStr">
        <is>
          <t>QA</t>
        </is>
      </c>
      <c r="D71" s="7" t="inlineStr">
        <is>
          <t>Pruebas en celulares reales (Android e iPhone): cámara, código, sorteo, crédito y correos en Gmail/Outlook, con informe y capturas</t>
        </is>
      </c>
      <c r="E71" s="7" t="inlineStr">
        <is>
          <t>Carlos Pardo</t>
        </is>
      </c>
      <c r="F71" s="8" t="inlineStr">
        <is>
          <t>Media</t>
        </is>
      </c>
      <c r="G71" s="8" t="inlineStr">
        <is>
          <t>Pendiente</t>
        </is>
      </c>
      <c r="H71" s="8" t="inlineStr">
        <is>
          <t>6.14</t>
        </is>
      </c>
      <c r="I71" s="21">
        <f>IFERROR(INDEX(Plan!$B$5:$B$76,MATCH(H71,Plan!$A$5:$A$76,0)),"—")</f>
        <v/>
      </c>
      <c r="J71" s="7" t="inlineStr">
        <is>
          <t>Encargo externo (500.000 COP) por PR a develop. Ver P-73.</t>
        </is>
      </c>
    </row>
    <row r="72">
      <c r="A72" s="19" t="inlineStr">
        <is>
          <t>P-39</t>
        </is>
      </c>
      <c r="B72" s="4" t="inlineStr">
        <is>
          <t>Verificación y cierre</t>
        </is>
      </c>
      <c r="C72" s="4" t="inlineStr">
        <is>
          <t>Calidad</t>
        </is>
      </c>
      <c r="D72" s="7" t="inlineStr">
        <is>
          <t>Correr ga-verificador-qa y ga-verificador-responsive</t>
        </is>
      </c>
      <c r="E72" s="7" t="inlineStr">
        <is>
          <t>Yo</t>
        </is>
      </c>
      <c r="F72" s="8" t="inlineStr">
        <is>
          <t>Alta</t>
        </is>
      </c>
      <c r="G72" s="8" t="inlineStr">
        <is>
          <t>Hecho</t>
        </is>
      </c>
      <c r="H72" s="8" t="inlineStr">
        <is>
          <t>6.3</t>
        </is>
      </c>
      <c r="I72" s="21">
        <f>IFERROR(INDEX(Plan!$B$5:$B$76,MATCH(H72,Plan!$A$5:$A$76,0)),"—")</f>
        <v/>
      </c>
      <c r="J72" s="7" t="inlineStr">
        <is>
          <t>QA 1 hecha el 23-sep (186 pasan, 2 fallan; informe docs/verificaciones/2026-09-23-verificacion-1.md). Responsive hecha el 23-sep: 2 fallas de scroll corregidas (5.8) y segunda pasada con 0 fallas en 13 anchos (320–1920 px); tests/responsive 10/10. La QA final sigue en 6.3.</t>
        </is>
      </c>
    </row>
    <row r="73">
      <c r="A73" s="19" t="inlineStr">
        <is>
          <t>P-41</t>
        </is>
      </c>
      <c r="B73" s="4" t="inlineStr">
        <is>
          <t>Verificación y cierre</t>
        </is>
      </c>
      <c r="C73" s="4" t="inlineStr">
        <is>
          <t>Git</t>
        </is>
      </c>
      <c r="D73" s="7" t="inlineStr">
        <is>
          <t>Commit de las pantallas nuevas</t>
        </is>
      </c>
      <c r="E73" s="7" t="inlineStr">
        <is>
          <t>Yo</t>
        </is>
      </c>
      <c r="F73" s="8" t="inlineStr">
        <is>
          <t>Alta</t>
        </is>
      </c>
      <c r="G73" s="8" t="inlineStr">
        <is>
          <t>Hecho</t>
        </is>
      </c>
      <c r="H73" s="8" t="inlineStr">
        <is>
          <t>—</t>
        </is>
      </c>
      <c r="I73" s="21">
        <f>IFERROR(INDEX(Plan!$B$5:$B$76,MATCH(H73,Plan!$A$5:$A$76,0)),"—")</f>
        <v/>
      </c>
      <c r="J73" s="7" t="inlineStr">
        <is>
          <t>Commit d86db86 en develop.</t>
        </is>
      </c>
    </row>
    <row r="74">
      <c r="A74" s="19" t="inlineStr">
        <is>
          <t>P-64</t>
        </is>
      </c>
      <c r="B74" s="4" t="inlineStr">
        <is>
          <t>Verificación y cierre</t>
        </is>
      </c>
      <c r="C74" s="4" t="inlineStr">
        <is>
          <t>Git</t>
        </is>
      </c>
      <c r="D74" s="7" t="inlineStr">
        <is>
          <t>Abrir el PR de develop a main</t>
        </is>
      </c>
      <c r="E74" s="7" t="inlineStr">
        <is>
          <t>Sebas</t>
        </is>
      </c>
      <c r="F74" s="8" t="inlineStr">
        <is>
          <t>Alta</t>
        </is>
      </c>
      <c r="G74" s="8" t="inlineStr">
        <is>
          <t>Hecho</t>
        </is>
      </c>
      <c r="H74" s="8" t="inlineStr">
        <is>
          <t>6.5</t>
        </is>
      </c>
      <c r="I74" s="21">
        <f>IFERROR(INDEX(Plan!$B$5:$B$76,MATCH(H74,Plan!$A$5:$A$76,0)),"—")</f>
        <v/>
      </c>
      <c r="J74" s="7" t="inlineStr">
        <is>
          <t>25-sep: Sebas abrió y fusionó el PR #1 develop → main (merge 5a39d34); Vercel desplegó fase 2 en producción.</t>
        </is>
      </c>
    </row>
    <row r="75">
      <c r="A75" s="19" t="inlineStr">
        <is>
          <t>P-82</t>
        </is>
      </c>
      <c r="B75" s="4" t="inlineStr">
        <is>
          <t>Verificación y cierre</t>
        </is>
      </c>
      <c r="C75" s="4" t="inlineStr">
        <is>
          <t>Despliegue</t>
        </is>
      </c>
      <c r="D75" s="7" t="inlineStr">
        <is>
          <t>Probar en producción con sesión real de los 3 administradores (ingreso con código OTP y logo del correo)</t>
        </is>
      </c>
      <c r="E75" s="7" t="inlineStr">
        <is>
          <t>Sebas</t>
        </is>
      </c>
      <c r="F75" s="8" t="inlineStr">
        <is>
          <t>Alta</t>
        </is>
      </c>
      <c r="G75" s="8" t="inlineStr">
        <is>
          <t>Hecho</t>
        </is>
      </c>
      <c r="H75" s="8" t="inlineStr">
        <is>
          <t>6.5</t>
        </is>
      </c>
      <c r="I75" s="21">
        <f>IFERROR(INDEX(Plan!$B$5:$B$76,MATCH(H75,Plan!$A$5:$A$76,0)),"—")</f>
        <v/>
      </c>
      <c r="J75" s="7" t="inlineStr">
        <is>
          <t>25-sep: Sebas entró con su cédula y le apareció el panel de administrador (falta confirmar Ricardo y abogadosprieto). 25-sep: reportado por la sesión principal tras el despliegue de fase 2; falta esta prueba manual antes de cerrar 6.5.</t>
        </is>
      </c>
    </row>
    <row r="76">
      <c r="A76" s="19" t="inlineStr">
        <is>
          <t>P-86</t>
        </is>
      </c>
      <c r="B76" s="4" t="inlineStr">
        <is>
          <t>Verificación y cierre</t>
        </is>
      </c>
      <c r="C76" s="4" t="inlineStr">
        <is>
          <t>/afiliacion</t>
        </is>
      </c>
      <c r="D76" s="7" t="inlineStr">
        <is>
          <t>A-01: la ayuda del dominio de correo institucional no se actualiza en vivo al elegir Policía/Ejército</t>
        </is>
      </c>
      <c r="E76" s="7" t="inlineStr">
        <is>
          <t>ga-funcionalidad-botones</t>
        </is>
      </c>
      <c r="F76" s="8" t="inlineStr">
        <is>
          <t>Alta</t>
        </is>
      </c>
      <c r="G76" s="8" t="inlineStr">
        <is>
          <t>Hecho</t>
        </is>
      </c>
      <c r="H76" s="8" t="inlineStr">
        <is>
          <t>6.3</t>
        </is>
      </c>
      <c r="I76" s="21">
        <f>IFERROR(INDEX(Plan!$B$5:$B$76,MATCH(H76,Plan!$A$5:$A$76,0)),"—")</f>
        <v/>
      </c>
      <c r="J76" s="7" t="inlineStr">
        <is>
          <t>25-sep: Sebas confirmó el correo de cualquier dominio (P-85); la ayuda por institución ya no existe. 25-sep: hallazgo de ga-verificador-qa. Condicionado a P-85: si se despliega el cambio a «correo de cualquier dominio» queda superado (ya no habría ayuda de dominio que actualizar); si Sebas decide mantener el chequeo institucional, hay que corregir el texto en vivo. Pendiente de esa decisión.</t>
        </is>
      </c>
    </row>
    <row r="77">
      <c r="A77" s="19" t="inlineStr">
        <is>
          <t>P-40</t>
        </is>
      </c>
      <c r="B77" s="4" t="inlineStr">
        <is>
          <t>Verificación y cierre</t>
        </is>
      </c>
      <c r="C77" s="4" t="inlineStr">
        <is>
          <t>Código</t>
        </is>
      </c>
      <c r="D77" s="7" t="inlineStr">
        <is>
          <t>Borrar /login y /dashboard cuando /ingresar y /cuenta funcionen</t>
        </is>
      </c>
      <c r="E77" s="7" t="inlineStr">
        <is>
          <t>Yo</t>
        </is>
      </c>
      <c r="F77" s="8" t="inlineStr">
        <is>
          <t>Media</t>
        </is>
      </c>
      <c r="G77" s="8" t="inlineStr">
        <is>
          <t>Hecho</t>
        </is>
      </c>
      <c r="H77" s="8" t="inlineStr">
        <is>
          <t>5.5</t>
        </is>
      </c>
      <c r="I77" s="21">
        <f>IFERROR(INDEX(Plan!$B$5:$B$76,MATCH(H77,Plan!$A$5:$A$76,0)),"—")</f>
        <v/>
      </c>
      <c r="J77" s="7" t="inlineStr">
        <is>
          <t>Borradas el 23-sep (incluida /dashboard/solicitar, su parte del proxy y los colores heredados de tailwind.config.ts).</t>
        </is>
      </c>
    </row>
    <row r="78">
      <c r="A78" s="19" t="inlineStr">
        <is>
          <t>P-49</t>
        </is>
      </c>
      <c r="B78" s="4" t="inlineStr">
        <is>
          <t>Verificación y cierre</t>
        </is>
      </c>
      <c r="C78" s="4" t="inlineStr">
        <is>
          <t>Seguridad</t>
        </is>
      </c>
      <c r="D78" s="7" t="inlineStr">
        <is>
          <t>Revisar si conviene confiar en x-forwarded-for para el límite de intentos por IP</t>
        </is>
      </c>
      <c r="E78" s="7" t="inlineStr">
        <is>
          <t>ga-revisor-seguridad</t>
        </is>
      </c>
      <c r="F78" s="8" t="inlineStr">
        <is>
          <t>Media</t>
        </is>
      </c>
      <c r="G78" s="8" t="inlineStr">
        <is>
          <t>Hecho</t>
        </is>
      </c>
      <c r="H78" s="8" t="inlineStr">
        <is>
          <t>6.2</t>
        </is>
      </c>
      <c r="I78" s="21">
        <f>IFERROR(INDEX(Plan!$B$5:$B$76,MATCH(H78,Plan!$A$5:$A$76,0)),"—")</f>
        <v/>
      </c>
      <c r="J78" s="7" t="inlineStr">
        <is>
          <t>Sugerido por ga-verificador-qa el 23-sep. Documentado por ga-funcionalidad-botones como O-01 en lib/servidor/limite.ts: x-forwarded-for/x-real-ip solo son confiables detrás de Vercel (nuestro caso); el límite real por cédula/IP lo hace la app, no Supabase.</t>
        </is>
      </c>
    </row>
    <row r="79">
      <c r="A79" s="19" t="inlineStr">
        <is>
          <t>P-50</t>
        </is>
      </c>
      <c r="B79" s="4" t="inlineStr">
        <is>
          <t>Verificación y cierre</t>
        </is>
      </c>
      <c r="C79" s="4" t="inlineStr">
        <is>
          <t>Correos</t>
        </is>
      </c>
      <c r="D79" s="7" t="inlineStr">
        <is>
          <t>Confirmar que salen los correos de afiliación (el log queda en la terminal de next dev)</t>
        </is>
      </c>
      <c r="E79" s="7" t="inlineStr">
        <is>
          <t>Yo</t>
        </is>
      </c>
      <c r="F79" s="8" t="inlineStr">
        <is>
          <t>Media</t>
        </is>
      </c>
      <c r="G79" s="8" t="inlineStr">
        <is>
          <t>Hecho</t>
        </is>
      </c>
      <c r="H79" s="8" t="inlineStr">
        <is>
          <t>—</t>
        </is>
      </c>
      <c r="I79" s="21">
        <f>IFERROR(INDEX(Plan!$B$5:$B$76,MATCH(H79,Plan!$A$5:$A$76,0)),"—")</f>
        <v/>
      </c>
      <c r="J79" s="7" t="inlineStr">
        <is>
          <t>Ya no aplica: el 23-sep se quitaron los correos de afiliación del código (decisión de Sebas).</t>
        </is>
      </c>
    </row>
    <row r="80">
      <c r="A80" s="19" t="inlineStr">
        <is>
          <t>P-62</t>
        </is>
      </c>
      <c r="B80" s="4" t="inlineStr">
        <is>
          <t>Verificación y cierre</t>
        </is>
      </c>
      <c r="C80" s="4" t="inlineStr">
        <is>
          <t>Base de datos</t>
        </is>
      </c>
      <c r="D80" s="7" t="inlineStr">
        <is>
          <t>Borrar la cuenta admin de prueba «Test QA» (cédula 1099887766) desde el panel de Supabase</t>
        </is>
      </c>
      <c r="E80" s="7" t="inlineStr">
        <is>
          <t>Sebas</t>
        </is>
      </c>
      <c r="F80" s="8" t="inlineStr">
        <is>
          <t>Media</t>
        </is>
      </c>
      <c r="G80" s="8" t="inlineStr">
        <is>
          <t>Hecho</t>
        </is>
      </c>
      <c r="H80" s="8" t="inlineStr">
        <is>
          <t>6.13</t>
        </is>
      </c>
      <c r="I80" s="21">
        <f>IFERROR(INDEX(Plan!$B$5:$B$76,MATCH(H80,Plan!$A$5:$A$76,0)),"—")</f>
        <v/>
      </c>
      <c r="J80" s="7" t="inlineStr">
        <is>
          <t>Ya hay 3 administradores reales en producción: Ricardo, Abogados Prieto y Sebas. 24-sep: usuario «Test QA» borrado de producción por Sebas.</t>
        </is>
      </c>
    </row>
    <row r="81">
      <c r="A81" s="19" t="inlineStr">
        <is>
          <t>P-71</t>
        </is>
      </c>
      <c r="B81" s="4" t="inlineStr">
        <is>
          <t>Verificación y cierre</t>
        </is>
      </c>
      <c r="C81" s="4" t="inlineStr">
        <is>
          <t>Pruebas</t>
        </is>
      </c>
      <c r="D81" s="7" t="inlineStr">
        <is>
          <t>Actualizar tests/e2e b-ingreso, i-despliegue y j-produccion al formato nuevo de máscara de correo</t>
        </is>
      </c>
      <c r="E81" s="7" t="inlineStr">
        <is>
          <t>Carlos Pardo</t>
        </is>
      </c>
      <c r="F81" s="8" t="inlineStr">
        <is>
          <t>Media</t>
        </is>
      </c>
      <c r="G81" s="8" t="inlineStr">
        <is>
          <t>Hecho</t>
        </is>
      </c>
      <c r="H81" s="8" t="inlineStr">
        <is>
          <t>6.15</t>
        </is>
      </c>
      <c r="I81" s="21">
        <f>IFERROR(INDEX(Plan!$B$5:$B$76,MATCH(H81,Plan!$A$5:$A$76,0)),"—")</f>
        <v/>
      </c>
      <c r="J81" s="7" t="inlineStr">
        <is>
          <t>Encargo externo (500.000 COP) por PR a develop. Parte del alcance que P-58 dejó fuera. Ver P-73. 27-sep: ga-verificador-qa se adelantó al encargo de Carlos y actualizó b-ingreso y j-produccion al formato de máscara con dominio oculto; i-despliegue ya usaba el formato nuevo, no necesitó cambio. Los 3 archivos quedan al día. La actividad 6.15 sigue Pendiente en el plan porque depende de 6.1 (En curso), pero su alcance ya está cubierto.</t>
        </is>
      </c>
    </row>
    <row r="82">
      <c r="A82" s="19" t="inlineStr">
        <is>
          <t>P-94</t>
        </is>
      </c>
      <c r="B82" s="4" t="inlineStr">
        <is>
          <t>Verificación y cierre</t>
        </is>
      </c>
      <c r="C82" s="4" t="inlineStr">
        <is>
          <t>Pruebas</t>
        </is>
      </c>
      <c r="D82" s="7" t="inlineStr">
        <is>
          <t>Correr tests/e2e/b-ingreso.spec.ts y d-afiliacion.spec.ts contra la maquetación C+ de ingreso y afiliación, con Supabase local</t>
        </is>
      </c>
      <c r="E82" s="7" t="inlineStr">
        <is>
          <t>ga-verificador-qa o ga-escritor-tests</t>
        </is>
      </c>
      <c r="F82" s="8" t="inlineStr">
        <is>
          <t>Media</t>
        </is>
      </c>
      <c r="G82" s="8" t="inlineStr">
        <is>
          <t>Hecho</t>
        </is>
      </c>
      <c r="H82" s="8" t="inlineStr">
        <is>
          <t>2.15</t>
        </is>
      </c>
      <c r="I82" s="21">
        <f>IFERROR(INDEX(Plan!$B$5:$B$76,MATCH(H82,Plan!$A$5:$A$76,0)),"—")</f>
        <v/>
      </c>
      <c r="J82" s="7" t="inlineStr">
        <is>
          <t>25-sep: reportado por ga-diseno-a-codigo tras maquetar 2.15 en C+; no se corrieron porque requieren Supabase local. 27-sep: ga-verificador-qa corrió el QA completo contra Supabase local (161/162 escritorio, 129/129 celular) y actualizó f-accesibilidad/utils.ts a la afiliación v2; queda cerrado.</t>
        </is>
      </c>
    </row>
    <row r="83">
      <c r="A83" s="19" t="inlineStr">
        <is>
          <t>P-102</t>
        </is>
      </c>
      <c r="B83" s="4" t="inlineStr">
        <is>
          <t>Verificación y cierre</t>
        </is>
      </c>
      <c r="C83" s="4" t="inlineStr">
        <is>
          <t>Landing</t>
        </is>
      </c>
      <c r="D83" s="7" t="inlineStr">
        <is>
          <t>B-01: sección de testimonios de la landing con corchetes de ejemplo visibles ([Nombre], [Testimonio]...)</t>
        </is>
      </c>
      <c r="E83" s="7" t="inlineStr">
        <is>
          <t>sesión principal</t>
        </is>
      </c>
      <c r="F83" s="8" t="inlineStr">
        <is>
          <t>Baja</t>
        </is>
      </c>
      <c r="G83" s="8" t="inlineStr">
        <is>
          <t>Hecho</t>
        </is>
      </c>
      <c r="H83" s="8" t="inlineStr">
        <is>
          <t>2.14</t>
        </is>
      </c>
      <c r="I83" s="21">
        <f>IFERROR(INDEX(Plan!$B$5:$B$76,MATCH(H83,Plan!$A$5:$A$76,0)),"—")</f>
        <v/>
      </c>
      <c r="J83" s="7" t="inlineStr">
        <is>
          <t>27-sep: hallazgo Bajo de ga-verificador-qa. Corregido en rediseno-c-plus (commit local fdab456): la sección se oculta mientras tenga textos de ejemplo. Falta el contenido real y decidir si se mantiene la sección, ver P-103.</t>
        </is>
      </c>
    </row>
    <row r="84">
      <c r="A84" s="19" t="inlineStr">
        <is>
          <t>P-52</t>
        </is>
      </c>
      <c r="B84" s="4" t="inlineStr">
        <is>
          <t>Verificación y cierre</t>
        </is>
      </c>
      <c r="C84" s="4" t="inlineStr">
        <is>
          <t>Documentación</t>
        </is>
      </c>
      <c r="D84" s="7" t="inlineStr">
        <is>
          <t>Mapa de botones: §4 «Nueva solicitud» → /cuenta/solicitar y sección para la ruta /cuenta/solicitar</t>
        </is>
      </c>
      <c r="E84" s="7" t="inlineStr">
        <is>
          <t>ga-funcionalidad-botones</t>
        </is>
      </c>
      <c r="F84" s="8" t="inlineStr">
        <is>
          <t>Baja</t>
        </is>
      </c>
      <c r="G84" s="8" t="inlineStr">
        <is>
          <t>Hecho</t>
        </is>
      </c>
      <c r="H84" s="8" t="inlineStr">
        <is>
          <t>3.7</t>
        </is>
      </c>
      <c r="I84" s="21">
        <f>IFERROR(INDEX(Plan!$B$5:$B$76,MATCH(H84,Plan!$A$5:$A$76,0)),"—")</f>
        <v/>
      </c>
      <c r="J84" s="7" t="inlineStr">
        <is>
          <t>Reportado por ga-diseno-a-codigo. Verificado el 23-sep: docs/mapa-de-botones.md ya tiene §4 «Nueva solicitud» → /cuenta/solicitar (Definido) y §4b /cuenta/solicitar; /dashboard se eliminó.</t>
        </is>
      </c>
    </row>
    <row r="85">
      <c r="A85" s="19" t="inlineStr">
        <is>
          <t>P-63</t>
        </is>
      </c>
      <c r="B85" s="4" t="inlineStr">
        <is>
          <t>Decisión</t>
        </is>
      </c>
      <c r="C85" s="4" t="inlineStr">
        <is>
          <t>Fase 2</t>
        </is>
      </c>
      <c r="D85" s="7" t="inlineStr">
        <is>
          <t>Preguntas abiertas de fase 2 para la cooperativa: grados del Ejército, dominios de correo institucionales (hoy solo policia.gov.co, buzonejercito.mil.co, ejercito.mil.co), tiempo que se guardan las fotos y tope de intentos del sorteo</t>
        </is>
      </c>
      <c r="E85" s="7" t="inlineStr">
        <is>
          <t>Cooperativa</t>
        </is>
      </c>
      <c r="F85" s="8" t="inlineStr">
        <is>
          <t>Alta</t>
        </is>
      </c>
      <c r="G85" s="8" t="inlineStr">
        <is>
          <t>Pendiente</t>
        </is>
      </c>
      <c r="H85" s="8" t="inlineStr">
        <is>
          <t>1.5</t>
        </is>
      </c>
      <c r="I85" s="21">
        <f>IFERROR(INDEX(Plan!$B$5:$B$76,MATCH(H85,Plan!$A$5:$A$76,0)),"—")</f>
        <v/>
      </c>
      <c r="J85" s="7" t="inlineStr">
        <is>
          <t>Ver docs/spec-fase-2.md §Preguntas abiertas.</t>
        </is>
      </c>
    </row>
    <row r="86">
      <c r="A86" s="19" t="inlineStr">
        <is>
          <t>P-100</t>
        </is>
      </c>
      <c r="B86" s="4" t="inlineStr">
        <is>
          <t>Decisión</t>
        </is>
      </c>
      <c r="C86" s="4" t="inlineStr">
        <is>
          <t>Seguridad</t>
        </is>
      </c>
      <c r="D86" s="7" t="inlineStr">
        <is>
          <t>Migración de permisos por columna para que un asociado no pueda leer la tasa de interés consultando la API directo con su sesión</t>
        </is>
      </c>
      <c r="E86" s="7" t="inlineStr">
        <is>
          <t>Sebas</t>
        </is>
      </c>
      <c r="F86" s="8" t="inlineStr">
        <is>
          <t>Media</t>
        </is>
      </c>
      <c r="G86" s="8" t="inlineStr">
        <is>
          <t>Pendiente</t>
        </is>
      </c>
      <c r="H86" s="8" t="inlineStr">
        <is>
          <t>3.5</t>
        </is>
      </c>
      <c r="I86" s="21">
        <f>IFERROR(INDEX(Plan!$B$5:$B$76,MATCH(H86,Plan!$A$5:$A$76,0)),"—")</f>
        <v/>
      </c>
      <c r="J86" s="7" t="inlineStr">
        <is>
          <t>27-sep: residuo tras corregir P-99. Aunque la tasa ya no llega al payload de /cuenta, la RLS actual le sigue permitiendo al asociado leer sus propias solicitudes y grados_credito por la API REST/PostgREST con su sesión, así que la tasa se puede seguir consultando ahí. Ocultarla del todo requiere una migración de permisos por columna (revoke/grant o vista); pendiente de que Sebas decida si vale la pena.</t>
        </is>
      </c>
    </row>
    <row r="87">
      <c r="A87" s="19" t="inlineStr">
        <is>
          <t>P-95</t>
        </is>
      </c>
      <c r="B87" s="4" t="inlineStr">
        <is>
          <t>Decisión</t>
        </is>
      </c>
      <c r="C87" s="4" t="inlineStr">
        <is>
          <t>Admin</t>
        </is>
      </c>
      <c r="D87" s="7" t="inlineStr">
        <is>
          <t>Botón «Escribir por WhatsApp» en el detalle de afiliación del admin</t>
        </is>
      </c>
      <c r="E87" s="7" t="inlineStr">
        <is>
          <t>Cooperativa</t>
        </is>
      </c>
      <c r="F87" s="8" t="inlineStr">
        <is>
          <t>Media</t>
        </is>
      </c>
      <c r="G87" s="8" t="inlineStr">
        <is>
          <t>Pendiente</t>
        </is>
      </c>
      <c r="H87" s="8" t="inlineStr">
        <is>
          <t>4.11</t>
        </is>
      </c>
      <c r="I87" s="21">
        <f>IFERROR(INDEX(Plan!$B$5:$B$76,MATCH(H87,Plan!$A$5:$A$76,0)),"—")</f>
        <v/>
      </c>
      <c r="J87" s="7" t="inlineStr">
        <is>
          <t>25-sep: propuesto por el diseño (pieza 3e del lienzo, detalle de afiliación); es funcionalidad nueva, no existía antes. El resto de las piezas 3d–3h usa componentes/rutas que ya existen.</t>
        </is>
      </c>
    </row>
    <row r="88">
      <c r="A88" s="19" t="inlineStr">
        <is>
          <t>P-96</t>
        </is>
      </c>
      <c r="B88" s="4" t="inlineStr">
        <is>
          <t>Decisión</t>
        </is>
      </c>
      <c r="C88" s="4" t="inlineStr">
        <is>
          <t>Admin</t>
        </is>
      </c>
      <c r="D88" s="7" t="inlineStr">
        <is>
          <t>Asignar/desactivar el asesor de un asociado (proceso sin definir)</t>
        </is>
      </c>
      <c r="E88" s="7" t="inlineStr">
        <is>
          <t>Cooperativa</t>
        </is>
      </c>
      <c r="F88" s="8" t="inlineStr">
        <is>
          <t>Media</t>
        </is>
      </c>
      <c r="G88" s="8" t="inlineStr">
        <is>
          <t>Pendiente</t>
        </is>
      </c>
      <c r="H88" s="8" t="inlineStr">
        <is>
          <t>4.11</t>
        </is>
      </c>
      <c r="I88" s="21">
        <f>IFERROR(INDEX(Plan!$B$5:$B$76,MATCH(H88,Plan!$A$5:$A$76,0)),"—")</f>
        <v/>
      </c>
      <c r="J88" s="7" t="inlineStr">
        <is>
          <t>25-sep: ga-disenador-lienzo no puede diseñar esta pantalla porque no hay backend ni proceso definido para asignar o desactivar el asesor de un asociado.</t>
        </is>
      </c>
    </row>
    <row r="89">
      <c r="A89" s="19" t="inlineStr">
        <is>
          <t>P-97</t>
        </is>
      </c>
      <c r="B89" s="4" t="inlineStr">
        <is>
          <t>Decisión</t>
        </is>
      </c>
      <c r="C89" s="4" t="inlineStr">
        <is>
          <t>Admin</t>
        </is>
      </c>
      <c r="D89" s="7" t="inlineStr">
        <is>
          <t>Motivo de rechazo visible en el detalle de afiliación (requiere migración)</t>
        </is>
      </c>
      <c r="E89" s="7" t="inlineStr">
        <is>
          <t>Cooperativa</t>
        </is>
      </c>
      <c r="F89" s="8" t="inlineStr">
        <is>
          <t>Media</t>
        </is>
      </c>
      <c r="G89" s="8" t="inlineStr">
        <is>
          <t>Pendiente</t>
        </is>
      </c>
      <c r="H89" s="8" t="inlineStr">
        <is>
          <t>4.11</t>
        </is>
      </c>
      <c r="I89" s="21">
        <f>IFERROR(INDEX(Plan!$B$5:$B$76,MATCH(H89,Plan!$A$5:$A$76,0)),"—")</f>
        <v/>
      </c>
      <c r="J89" s="7" t="inlineStr">
        <is>
          <t>25-sep: identificado en el detalle de afiliación del lienzo (pieza 3e). Relacionado con P-69/5.10 (Carlos Pardo ya tiene encargada la columna motivo_rechazo y el borrado automático de fotos); se deja anotado aparte para que la cooperativa confirme el texto/proceso del motivo que verá el admin.</t>
        </is>
      </c>
    </row>
    <row r="90">
      <c r="A90" s="19" t="inlineStr">
        <is>
          <t>P-98</t>
        </is>
      </c>
      <c r="B90" s="4" t="inlineStr">
        <is>
          <t>Decisión</t>
        </is>
      </c>
      <c r="C90" s="4" t="inlineStr">
        <is>
          <t>Asesor</t>
        </is>
      </c>
      <c r="D90" s="7" t="inlineStr">
        <is>
          <t>Confirmar la regla de categorización de asociados ya afiliados como «Aprobada» en las tarjetas/chips de /asesor (pedido D-06 del lienzo)</t>
        </is>
      </c>
      <c r="E90" s="7" t="inlineStr">
        <is>
          <t>Sebas</t>
        </is>
      </c>
      <c r="F90" s="8" t="inlineStr">
        <is>
          <t>Media</t>
        </is>
      </c>
      <c r="G90" s="8" t="inlineStr">
        <is>
          <t>Pendiente</t>
        </is>
      </c>
      <c r="H90" s="8" t="inlineStr">
        <is>
          <t>4.10</t>
        </is>
      </c>
      <c r="I90" s="21">
        <f>IFERROR(INDEX(Plan!$B$5:$B$76,MATCH(H90,Plan!$A$5:$A$76,0)),"—")</f>
        <v/>
      </c>
      <c r="J90" s="7" t="inlineStr">
        <is>
          <t>27-sep: ga-diseno-a-codigo implementó en lib/asesor/resumen.ts (categoriaAfiliacion, TODO(diseno: D-06)) la regla «un asociado ya es, por definición, una afiliación Aprobada» (agrupa origen:'asociado' en la tarjeta/chip «Aprobada» sin importar su estado de crédito), documentada como decisión provisional de la sesión principal. Falta que Sebas o ga-disenador-lienzo la confirmen, o decidan si un asociado con crédito rechazado debe verse distinto, y si la columna «Último crédito» necesita su propio color en el lienzo. Ver docs/diseno/pedidos.md D-06.</t>
        </is>
      </c>
    </row>
    <row r="91">
      <c r="A91" s="19" t="inlineStr">
        <is>
          <t>P-02</t>
        </is>
      </c>
      <c r="B91" s="4" t="inlineStr">
        <is>
          <t>Decisión</t>
        </is>
      </c>
      <c r="C91" s="4" t="inlineStr">
        <is>
          <t>/cuenta</t>
        </is>
      </c>
      <c r="D91" s="7" t="inlineStr">
        <is>
          <t>Preguntar a la cooperativa si los convenios tendrán página propia</t>
        </is>
      </c>
      <c r="E91" s="7" t="inlineStr">
        <is>
          <t>Cooperativa</t>
        </is>
      </c>
      <c r="F91" s="8" t="inlineStr">
        <is>
          <t>Baja</t>
        </is>
      </c>
      <c r="G91" s="8" t="inlineStr">
        <is>
          <t>Pendiente</t>
        </is>
      </c>
      <c r="H91" s="8" t="inlineStr">
        <is>
          <t>5.1</t>
        </is>
      </c>
      <c r="I91" s="21">
        <f>IFERROR(INDEX(Plan!$B$5:$B$76,MATCH(H91,Plan!$A$5:$A$76,0)),"—")</f>
        <v/>
      </c>
      <c r="J91" s="7" t="inlineStr">
        <is>
          <t>Por ahora son una sección en /cuenta (#convenios).</t>
        </is>
      </c>
    </row>
    <row r="92">
      <c r="A92" s="19" t="inlineStr">
        <is>
          <t>P-103</t>
        </is>
      </c>
      <c r="B92" s="4" t="inlineStr">
        <is>
          <t>Decisión</t>
        </is>
      </c>
      <c r="C92" s="4" t="inlineStr">
        <is>
          <t>Landing</t>
        </is>
      </c>
      <c r="D92" s="7" t="inlineStr">
        <is>
          <t>D-07: ¿se mantiene la sección de testimonios de la landing? si sí, falta su diseño en la pieza 2a y de dónde salen los testimonios reales</t>
        </is>
      </c>
      <c r="E92" s="7" t="inlineStr">
        <is>
          <t>Cooperativa</t>
        </is>
      </c>
      <c r="F92" s="8" t="inlineStr">
        <is>
          <t>Baja</t>
        </is>
      </c>
      <c r="G92" s="8" t="inlineStr">
        <is>
          <t>Pendiente</t>
        </is>
      </c>
      <c r="H92" s="8" t="inlineStr">
        <is>
          <t>2.14</t>
        </is>
      </c>
      <c r="I92" s="21">
        <f>IFERROR(INDEX(Plan!$B$5:$B$76,MATCH(H92,Plan!$A$5:$A$76,0)),"—")</f>
        <v/>
      </c>
      <c r="J92" s="7" t="inlineStr">
        <is>
          <t>27-sep: pedido de diseño nuevo de ga-verificador-qa (la sección no tiene respaldo en la pieza 2a del lienzo). Relacionado con P-16 (fotos/cifras/testimonios reales, 5.3).</t>
        </is>
      </c>
    </row>
    <row r="93">
      <c r="A93" s="19" t="inlineStr">
        <is>
          <t>P-53</t>
        </is>
      </c>
      <c r="B93" s="4" t="inlineStr">
        <is>
          <t>Decisión</t>
        </is>
      </c>
      <c r="C93" s="4" t="inlineStr">
        <is>
          <t>Landing</t>
        </is>
      </c>
      <c r="D93" s="7" t="inlineStr">
        <is>
          <t>A 320 px la línea «COOPERATIVA» del logo mide ~5 px de alto (opcional: ocultarla o achicar «Ingresar» bajo 360 px)</t>
        </is>
      </c>
      <c r="E93" s="7" t="inlineStr">
        <is>
          <t>Yo</t>
        </is>
      </c>
      <c r="F93" s="8" t="inlineStr">
        <is>
          <t>Baja</t>
        </is>
      </c>
      <c r="G93" s="8" t="inlineStr">
        <is>
          <t>Pendiente</t>
        </is>
      </c>
      <c r="H93" s="8" t="inlineStr">
        <is>
          <t>—</t>
        </is>
      </c>
      <c r="I93" s="21">
        <f>IFERROR(INDEX(Plan!$B$5:$B$76,MATCH(H93,Plan!$A$5:$A$76,0)),"—")</f>
        <v/>
      </c>
      <c r="J93" s="7" t="inlineStr">
        <is>
          <t>Menor y opcional, reportado por ga-verificador-responsive el 23-sep.</t>
        </is>
      </c>
    </row>
    <row r="94">
      <c r="A94" s="19" t="inlineStr">
        <is>
          <t>P-09</t>
        </is>
      </c>
      <c r="B94" s="4" t="inlineStr">
        <is>
          <t>Decisión</t>
        </is>
      </c>
      <c r="C94" s="4" t="inlineStr">
        <is>
          <t>Base de datos</t>
        </is>
      </c>
      <c r="D94" s="7" t="inlineStr">
        <is>
          <t>Revisar y aplicar en producción la migración blindar_solicitudes_y_revisiones</t>
        </is>
      </c>
      <c r="E94" s="7" t="inlineStr">
        <is>
          <t>Sebas (ga-auditor-supabase revisa antes)</t>
        </is>
      </c>
      <c r="F94" s="8" t="inlineStr">
        <is>
          <t>Alta</t>
        </is>
      </c>
      <c r="G94" s="8" t="inlineStr">
        <is>
          <t>Hecho</t>
        </is>
      </c>
      <c r="H94" s="8" t="inlineStr">
        <is>
          <t>6.10</t>
        </is>
      </c>
      <c r="I94" s="21">
        <f>IFERROR(INDEX(Plan!$B$5:$B$76,MATCH(H94,Plan!$A$5:$A$76,0)),"—")</f>
        <v/>
      </c>
      <c r="J94" s="7" t="inlineStr">
        <is>
          <t>Verificado con list_migrations el 23-sep: producción ya tiene 20260923173355_blindar_solicitudes_y_revisiones.</t>
        </is>
      </c>
    </row>
    <row r="95">
      <c r="A95" s="19" t="inlineStr">
        <is>
          <t>P-08</t>
        </is>
      </c>
      <c r="B95" s="4" t="inlineStr">
        <is>
          <t>Decisión</t>
        </is>
      </c>
      <c r="C95" s="4" t="inlineStr">
        <is>
          <t>/cuenta</t>
        </is>
      </c>
      <c r="D95" s="7" t="inlineStr">
        <is>
          <t>P-10: el asociado no cambia su nombre pero sí su teléfono</t>
        </is>
      </c>
      <c r="E95" s="7" t="inlineStr">
        <is>
          <t>Yo</t>
        </is>
      </c>
      <c r="F95" s="8" t="inlineStr">
        <is>
          <t>Media</t>
        </is>
      </c>
      <c r="G95" s="8" t="inlineStr">
        <is>
          <t>Hecho</t>
        </is>
      </c>
      <c r="H95" s="8" t="inlineStr">
        <is>
          <t>3.6</t>
        </is>
      </c>
      <c r="I95" s="21">
        <f>IFERROR(INDEX(Plan!$B$5:$B$76,MATCH(H95,Plan!$A$5:$A$76,0)),"—")</f>
        <v/>
      </c>
      <c r="J95" s="7" t="inlineStr">
        <is>
          <t>Apartado «Mis datos» ya maquetado.</t>
        </is>
      </c>
    </row>
    <row r="96">
      <c r="A96" s="19" t="inlineStr">
        <is>
          <t>P-65</t>
        </is>
      </c>
      <c r="B96" s="4" t="inlineStr">
        <is>
          <t>Decisión</t>
        </is>
      </c>
      <c r="C96" s="4" t="inlineStr">
        <is>
          <t>Sorteo</t>
        </is>
      </c>
      <c r="D96" s="7" t="inlineStr">
        <is>
          <t>Decidir si un admin o un asesor pueden participar en el sorteo mensual</t>
        </is>
      </c>
      <c r="E96" s="7" t="inlineStr">
        <is>
          <t>Cooperativa</t>
        </is>
      </c>
      <c r="F96" s="8" t="inlineStr">
        <is>
          <t>Media</t>
        </is>
      </c>
      <c r="G96" s="8" t="inlineStr">
        <is>
          <t>Hecho</t>
        </is>
      </c>
      <c r="H96" s="8" t="inlineStr">
        <is>
          <t>3.9</t>
        </is>
      </c>
      <c r="I96" s="21">
        <f>IFERROR(INDEX(Plan!$B$5:$B$76,MATCH(H96,Plan!$A$5:$A$76,0)),"—")</f>
        <v/>
      </c>
      <c r="J96" s="7" t="inlineStr">
        <is>
          <t>Sugerido por ga-revisor-seguridad el 24-sep. 24-sep: decidido que solo participan asociados (S-13, ya implementado en participarSorteo).</t>
        </is>
      </c>
    </row>
    <row r="97">
      <c r="A97" s="19" t="inlineStr">
        <is>
          <t>P-01</t>
        </is>
      </c>
      <c r="B97" s="4" t="inlineStr">
        <is>
          <t>Decisión</t>
        </is>
      </c>
      <c r="C97" s="4" t="inlineStr">
        <is>
          <t>General</t>
        </is>
      </c>
      <c r="D97" s="7" t="inlineStr">
        <is>
          <t>Color de error #B3261E</t>
        </is>
      </c>
      <c r="E97" s="7" t="inlineStr">
        <is>
          <t>Yo</t>
        </is>
      </c>
      <c r="F97" s="8" t="inlineStr">
        <is>
          <t>Baja</t>
        </is>
      </c>
      <c r="G97" s="8" t="inlineStr">
        <is>
          <t>Hecho</t>
        </is>
      </c>
      <c r="H97" s="8" t="inlineStr">
        <is>
          <t>—</t>
        </is>
      </c>
      <c r="I97" s="21">
        <f>IFERROR(INDEX(Plan!$B$5:$B$76,MATCH(H97,Plan!$A$5:$A$76,0)),"—")</f>
        <v/>
      </c>
      <c r="J97" s="7" t="inlineStr">
        <is>
          <t>Se deja.</t>
        </is>
      </c>
    </row>
    <row r="98">
      <c r="A98" s="19" t="inlineStr">
        <is>
          <t>P-03</t>
        </is>
      </c>
      <c r="B98" s="4" t="inlineStr">
        <is>
          <t>Decisión</t>
        </is>
      </c>
      <c r="C98" s="4" t="inlineStr">
        <is>
          <t>/cuenta</t>
        </is>
      </c>
      <c r="D98" s="7" t="inlineStr">
        <is>
          <t>Estado vacío de «Tu solicitud»</t>
        </is>
      </c>
      <c r="E98" s="7" t="inlineStr">
        <is>
          <t>Yo</t>
        </is>
      </c>
      <c r="F98" s="8" t="inlineStr">
        <is>
          <t>Baja</t>
        </is>
      </c>
      <c r="G98" s="8" t="inlineStr">
        <is>
          <t>Hecho</t>
        </is>
      </c>
      <c r="H98" s="8" t="inlineStr">
        <is>
          <t>3.4</t>
        </is>
      </c>
      <c r="I98" s="21">
        <f>IFERROR(INDEX(Plan!$B$5:$B$76,MATCH(H98,Plan!$A$5:$A$76,0)),"—")</f>
        <v/>
      </c>
      <c r="J98" s="7" t="inlineStr">
        <is>
          <t>Ver con /cuenta?vacio=1.</t>
        </is>
      </c>
    </row>
    <row r="99">
      <c r="A99" s="19" t="inlineStr">
        <is>
          <t>P-04</t>
        </is>
      </c>
      <c r="B99" s="4" t="inlineStr">
        <is>
          <t>Decisión</t>
        </is>
      </c>
      <c r="C99" s="4" t="inlineStr">
        <is>
          <t>General</t>
        </is>
      </c>
      <c r="D99" s="7" t="inlineStr">
        <is>
          <t>Logo en celular como enlace a la landing</t>
        </is>
      </c>
      <c r="E99" s="7" t="inlineStr">
        <is>
          <t>Yo</t>
        </is>
      </c>
      <c r="F99" s="8" t="inlineStr">
        <is>
          <t>Baja</t>
        </is>
      </c>
      <c r="G99" s="8" t="inlineStr">
        <is>
          <t>Hecho</t>
        </is>
      </c>
      <c r="H99" s="8" t="inlineStr">
        <is>
          <t>—</t>
        </is>
      </c>
      <c r="I99" s="21">
        <f>IFERROR(INDEX(Plan!$B$5:$B$76,MATCH(H99,Plan!$A$5:$A$76,0)),"—")</f>
        <v/>
      </c>
      <c r="J99" s="7" t="inlineStr"/>
    </row>
    <row r="100">
      <c r="A100" s="19" t="inlineStr">
        <is>
          <t>P-05</t>
        </is>
      </c>
      <c r="B100" s="4" t="inlineStr">
        <is>
          <t>Decisión</t>
        </is>
      </c>
      <c r="C100" s="4" t="inlineStr">
        <is>
          <t>General</t>
        </is>
      </c>
      <c r="D100" s="7" t="inlineStr">
        <is>
          <t>Escudo: public/logos/vector/green-alliance-logo.svg</t>
        </is>
      </c>
      <c r="E100" s="7" t="inlineStr">
        <is>
          <t>Yo</t>
        </is>
      </c>
      <c r="F100" s="8" t="inlineStr">
        <is>
          <t>Baja</t>
        </is>
      </c>
      <c r="G100" s="8" t="inlineStr">
        <is>
          <t>Hecho</t>
        </is>
      </c>
      <c r="H100" s="8" t="inlineStr">
        <is>
          <t>—</t>
        </is>
      </c>
      <c r="I100" s="21">
        <f>IFERROR(INDEX(Plan!$B$5:$B$76,MATCH(H100,Plan!$A$5:$A$76,0)),"—")</f>
        <v/>
      </c>
      <c r="J100" s="7" t="inlineStr"/>
    </row>
    <row r="101">
      <c r="A101" s="19" t="inlineStr">
        <is>
          <t>P-06</t>
        </is>
      </c>
      <c r="B101" s="4" t="inlineStr">
        <is>
          <t>Decisión</t>
        </is>
      </c>
      <c r="C101" s="4" t="inlineStr">
        <is>
          <t>/ingresar</t>
        </is>
      </c>
      <c r="D101" s="7" t="inlineStr">
        <is>
          <t>Formulario de ingreso entre 640 y 767 px (columna de 440 px)</t>
        </is>
      </c>
      <c r="E101" s="7" t="inlineStr">
        <is>
          <t>Yo</t>
        </is>
      </c>
      <c r="F101" s="8" t="inlineStr">
        <is>
          <t>Baja</t>
        </is>
      </c>
      <c r="G101" s="8" t="inlineStr">
        <is>
          <t>Hecho</t>
        </is>
      </c>
      <c r="H101" s="8" t="inlineStr">
        <is>
          <t>5.2</t>
        </is>
      </c>
      <c r="I101" s="21">
        <f>IFERROR(INDEX(Plan!$B$5:$B$76,MATCH(H101,Plan!$A$5:$A$76,0)),"—")</f>
        <v/>
      </c>
      <c r="J101" s="7" t="inlineStr"/>
    </row>
    <row r="102">
      <c r="A102" s="19" t="inlineStr">
        <is>
          <t>P-07</t>
        </is>
      </c>
      <c r="B102" s="4" t="inlineStr">
        <is>
          <t>Decisión</t>
        </is>
      </c>
      <c r="C102" s="4" t="inlineStr">
        <is>
          <t>/ingresar</t>
        </is>
      </c>
      <c r="D102" s="7" t="inlineStr">
        <is>
          <t>Panel verde en tableta (640–1023 px) centrado</t>
        </is>
      </c>
      <c r="E102" s="7" t="inlineStr">
        <is>
          <t>Yo</t>
        </is>
      </c>
      <c r="F102" s="8" t="inlineStr">
        <is>
          <t>Baja</t>
        </is>
      </c>
      <c r="G102" s="8" t="inlineStr">
        <is>
          <t>Hecho</t>
        </is>
      </c>
      <c r="H102" s="8" t="inlineStr">
        <is>
          <t>5.2</t>
        </is>
      </c>
      <c r="I102" s="21">
        <f>IFERROR(INDEX(Plan!$B$5:$B$76,MATCH(H102,Plan!$A$5:$A$76,0)),"—")</f>
        <v/>
      </c>
      <c r="J102" s="7" t="inlineStr"/>
    </row>
    <row r="103">
      <c r="A103" s="19" t="inlineStr">
        <is>
          <t>P-88</t>
        </is>
      </c>
      <c r="B103" s="4" t="inlineStr">
        <is>
          <t>Base de datos</t>
        </is>
      </c>
      <c r="C103" s="4" t="inlineStr">
        <is>
          <t>Seguridad</t>
        </is>
      </c>
      <c r="D103" s="7" t="inlineStr">
        <is>
          <t>F2-08: tr_componer_nombre_afiliacion no cubre el update directo de solicitudes_afiliacion.nombre por un admin</t>
        </is>
      </c>
      <c r="E103" s="7" t="inlineStr">
        <is>
          <t>ga-auditor-supabase</t>
        </is>
      </c>
      <c r="F103" s="8" t="inlineStr">
        <is>
          <t>Baja</t>
        </is>
      </c>
      <c r="G103" s="8" t="inlineStr">
        <is>
          <t>Pendiente</t>
        </is>
      </c>
      <c r="H103" s="8" t="inlineStr">
        <is>
          <t>1.6</t>
        </is>
      </c>
      <c r="I103" s="21">
        <f>IFERROR(INDEX(Plan!$B$5:$B$76,MATCH(H103,Plan!$A$5:$A$76,0)),"—")</f>
        <v/>
      </c>
      <c r="J103" s="7" t="inlineStr">
        <is>
          <t>Documentado en docs/auditorias/2026-09-24-fase-2.md; confirmado sin corregir por ga-revisor-seguridad el 25-sep. Un admin puede reescribir `nombre` por SQL directo, y ese texto lo usan el correo «Ingreso aceptado» y el nombre_completo del perfil. Solo afecta a admins.</t>
        </is>
      </c>
    </row>
    <row r="104">
      <c r="A104" s="19" t="inlineStr">
        <is>
          <t>P-101</t>
        </is>
      </c>
      <c r="B104" s="4" t="inlineStr">
        <is>
          <t>Seguridad</t>
        </is>
      </c>
      <c r="C104" s="4" t="inlineStr">
        <is>
          <t>Admin</t>
        </is>
      </c>
      <c r="D104" s="7" t="inlineStr">
        <is>
          <t>H2/M-01: cédula sin enmascarar de las «hermanas» en el detalle de afiliación viajaba completa a un client component</t>
        </is>
      </c>
      <c r="E104" s="7" t="inlineStr">
        <is>
          <t>sesión principal</t>
        </is>
      </c>
      <c r="F104" s="8" t="inlineStr">
        <is>
          <t>Media</t>
        </is>
      </c>
      <c r="G104" s="8" t="inlineStr">
        <is>
          <t>Hecho</t>
        </is>
      </c>
      <c r="H104" s="8" t="inlineStr">
        <is>
          <t>4.11</t>
        </is>
      </c>
      <c r="I104" s="21">
        <f>IFERROR(INDEX(Plan!$B$5:$B$76,MATCH(H104,Plan!$A$5:$A$76,0)),"—")</f>
        <v/>
      </c>
      <c r="J104" s="7" t="inlineStr">
        <is>
          <t>27-sep: hallazgo de ga-revisor-seguridad, confirmado por ga-verificador-qa el mismo día (se mostraba enmascarada en pantalla pero viajaba completa en las props de PanelAfiliacionDetalle / app/admin/afiliaciones/_datos.ts). Corregido en rediseno-c-plus (commit local fdab456): la cédula se enmascara en el servidor antes de llegar al client component.</t>
        </is>
      </c>
    </row>
    <row r="105">
      <c r="A105" s="19" t="inlineStr">
        <is>
          <t>P-83</t>
        </is>
      </c>
      <c r="B105" s="4" t="inlineStr">
        <is>
          <t>Seguridad</t>
        </is>
      </c>
      <c r="C105" s="4" t="inlineStr">
        <is>
          <t>Correos</t>
        </is>
      </c>
      <c r="D105" s="7" t="inlineStr">
        <is>
          <t>S-15: escapar/validar HTML en las variables NOMBRE/MOTIVO de los correos de Resend</t>
        </is>
      </c>
      <c r="E105" s="7" t="inlineStr">
        <is>
          <t>ga-funcionalidad-botones</t>
        </is>
      </c>
      <c r="F105" s="8" t="inlineStr">
        <is>
          <t>Media</t>
        </is>
      </c>
      <c r="G105" s="8" t="inlineStr">
        <is>
          <t>Hecho</t>
        </is>
      </c>
      <c r="H105" s="8" t="inlineStr">
        <is>
          <t>6.2</t>
        </is>
      </c>
      <c r="I105" s="21">
        <f>IFERROR(INDEX(Plan!$B$5:$B$76,MATCH(H105,Plan!$A$5:$A$76,0)),"—")</f>
        <v/>
      </c>
      <c r="J105" s="7" t="inlineStr">
        <is>
          <t>25-sep: hallazgo de ga-revisor-seguridad (un admin puede meter HTML en perfiles.nombre_completo o en el motivo de rechazo). Corregido en local con pruebas (tests/unit/correo-resend.test.ts). 25-sep: desplegado con el PR #2 (merge 2c19d02).</t>
        </is>
      </c>
    </row>
    <row r="106">
      <c r="A106" s="19" t="inlineStr">
        <is>
          <t>P-84</t>
        </is>
      </c>
      <c r="B106" s="4" t="inlineStr">
        <is>
          <t>Código</t>
        </is>
      </c>
      <c r="C106" s="4" t="inlineStr">
        <is>
          <t>Configuración</t>
        </is>
      </c>
      <c r="D106" s="7" t="inlineStr">
        <is>
          <t>M-01: el número de WhatsApp se muestra sin espacios por un typo de regex en lib/config.ts</t>
        </is>
      </c>
      <c r="E106" s="7" t="inlineStr">
        <is>
          <t>ga-funcionalidad-botones</t>
        </is>
      </c>
      <c r="F106" s="8" t="inlineStr">
        <is>
          <t>Media</t>
        </is>
      </c>
      <c r="G106" s="8" t="inlineStr">
        <is>
          <t>Hecho</t>
        </is>
      </c>
      <c r="H106" s="8" t="inlineStr">
        <is>
          <t>5.3</t>
        </is>
      </c>
      <c r="I106" s="21">
        <f>IFERROR(INDEX(Plan!$B$5:$B$76,MATCH(H106,Plan!$A$5:$A$76,0)),"—")</f>
        <v/>
      </c>
      <c r="J106" s="7" t="inlineStr">
        <is>
          <t>25-sep: hallazgo de ga-verificador-qa (patrón sin la barra invertida de \D/\d; el enlace wa.me sí funciona). Corregido en local con pruebas (tests/unit/config-whatsapp.test.ts). 25-sep: desplegado con el PR #2 (merge 2c19d02); confirmado en vivo «311 724 1942».</t>
        </is>
      </c>
    </row>
    <row r="107">
      <c r="A107" s="19" t="inlineStr">
        <is>
          <t>P-99</t>
        </is>
      </c>
      <c r="B107" s="4" t="inlineStr">
        <is>
          <t>Seguridad</t>
        </is>
      </c>
      <c r="C107" s="4" t="inlineStr">
        <is>
          <t>/cuenta</t>
        </is>
      </c>
      <c r="D107" s="7" t="inlineStr">
        <is>
          <t>H1: la tasa de interés de la solicitud viajaba en las props de CuentaCliente aunque nunca se renderizara</t>
        </is>
      </c>
      <c r="E107" s="7" t="inlineStr">
        <is>
          <t>sesión principal</t>
        </is>
      </c>
      <c r="F107" s="8" t="inlineStr">
        <is>
          <t>Media</t>
        </is>
      </c>
      <c r="G107" s="8" t="inlineStr">
        <is>
          <t>Hecho</t>
        </is>
      </c>
      <c r="H107" s="8" t="inlineStr">
        <is>
          <t>3.5</t>
        </is>
      </c>
      <c r="I107" s="21">
        <f>IFERROR(INDEX(Plan!$B$5:$B$76,MATCH(H107,Plan!$A$5:$A$76,0)),"—")</f>
        <v/>
      </c>
      <c r="J107" s="7" t="inlineStr">
        <is>
          <t>27-sep: hallazgo de ga-revisor-seguridad al revisar el rediseño C+; confirmado vigente en producción desde el 25-sep, no introducido por el rediseño. Corregido en rediseno-c-plus (commit local e650033): app/cuenta/page.tsx y lib/cuenta.ts ya no mandan tasa/tasa_interes_mensual a CuentaCliente (client component). Como también afecta a producción (main), conviene llevar este hotfix aparte aunque el rediseño no se fusione todavía; queda a decisión de Sebas. Ver el residuo en P-100.</t>
        </is>
      </c>
    </row>
  </sheetData>
  <autoFilter ref="A4:J107"/>
  <conditionalFormatting sqref="G5:G107">
    <cfRule type="expression" priority="1" dxfId="1">
      <formula>$G5="Hecho"</formula>
    </cfRule>
    <cfRule type="expression" priority="2" dxfId="2">
      <formula>$G5="En curso"</formula>
    </cfRule>
    <cfRule type="expression" priority="3" dxfId="3">
      <formula>$G5="Pendiente"</formula>
    </cfRule>
    <cfRule type="expression" priority="4" dxfId="4">
      <formula>$G5="Bloqueado"</formula>
    </cfRule>
  </conditionalFormatting>
  <conditionalFormatting sqref="F5:F107">
    <cfRule type="expression" priority="5" dxfId="5">
      <formula>$F5="Alta"</formula>
    </cfRule>
    <cfRule type="expression" priority="6" dxfId="6">
      <formula>$F5="Media"</formula>
    </cfRule>
    <cfRule type="expression" priority="7" dxfId="7">
      <formula>$F5="Baja"</formula>
    </cfRule>
  </conditionalFormatting>
  <conditionalFormatting sqref="A5:F107">
    <cfRule type="expression" priority="8" dxfId="8">
      <formula>$G5="Hecho"</formula>
    </cfRule>
  </conditionalFormatting>
  <dataValidations count="2">
    <dataValidation sqref="G5:G107" showDropDown="0" showInputMessage="0" showErrorMessage="0" allowBlank="0" type="list">
      <formula1>"Hecho,En curso,Pendiente,Bloqueado"</formula1>
    </dataValidation>
    <dataValidation sqref="F5:F107" showDropDown="0" showInputMessage="0" showErrorMessage="0" allowBlank="0" type="list">
      <formula1>"Alta,Media,Baja"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82"/>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52" customWidth="1" min="3" max="3"/>
    <col width="9" customWidth="1" min="4" max="4"/>
    <col width="10" customWidth="1" min="5" max="5"/>
    <col width="14" customWidth="1" min="6" max="6"/>
    <col width="12" customWidth="1" min="7" max="7"/>
    <col width="22" customWidth="1" min="8" max="8"/>
    <col width="7" customWidth="1" min="9" max="9"/>
    <col width="11" customWidth="1" min="10" max="10"/>
    <col width="9" customWidth="1" min="11" max="11"/>
    <col width="9" customWidth="1" min="12" max="12"/>
    <col width="9" customWidth="1" min="13" max="13"/>
    <col width="10" customWidth="1" min="14" max="14"/>
    <col width="11" customWidth="1" min="15" max="15"/>
    <col width="11" customWidth="1" min="16" max="16"/>
    <col width="26" customWidth="1" min="17" max="17"/>
    <col width="34" customWidth="1" min="18" max="18"/>
  </cols>
  <sheetData>
    <row r="1">
      <c r="A1" s="1" t="inlineStr">
        <is>
          <t>Plan optimizado — tabla de actividades</t>
        </is>
      </c>
    </row>
    <row r="2">
      <c r="A2" s="2" t="inlineStr">
        <is>
          <t>Inicio, Listo y Fila los calcula el optimizador (2 filas, cola infinita). Si cambias pesos o dependencias, pide a ga-supervisor-avances que regenere el libro.</t>
        </is>
      </c>
    </row>
    <row r="4" ht="42" customHeight="1">
      <c r="A4" s="14" t="inlineStr">
        <is>
          <t>ID</t>
        </is>
      </c>
      <c r="B4" s="14" t="inlineStr">
        <is>
          <t>Fase</t>
        </is>
      </c>
      <c r="C4" s="14" t="inlineStr">
        <is>
          <t>Actividad</t>
        </is>
      </c>
      <c r="D4" s="14" t="inlineStr">
        <is>
          <t>Peso (1–5)</t>
        </is>
      </c>
      <c r="E4" s="14" t="inlineStr">
        <is>
          <t>Duración (bloques)</t>
        </is>
      </c>
      <c r="F4" s="14" t="inlineStr">
        <is>
          <t>Depende de</t>
        </is>
      </c>
      <c r="G4" s="14" t="inlineStr">
        <is>
          <t>¿Simultánea con otras?</t>
        </is>
      </c>
      <c r="H4" s="14" t="inlineStr">
        <is>
          <t>En paralelo con</t>
        </is>
      </c>
      <c r="I4" s="14" t="inlineStr">
        <is>
          <t>Fila</t>
        </is>
      </c>
      <c r="J4" s="14" t="inlineStr">
        <is>
          <t>Entra a la cola (bloque)</t>
        </is>
      </c>
      <c r="K4" s="14" t="inlineStr">
        <is>
          <t>Inicio (bloque)</t>
        </is>
      </c>
      <c r="L4" s="14" t="inlineStr">
        <is>
          <t>Fin (bloque)</t>
        </is>
      </c>
      <c r="M4" s="14" t="inlineStr">
        <is>
          <t>Espera en cola</t>
        </is>
      </c>
      <c r="N4" s="14" t="inlineStr">
        <is>
          <t>Semanas</t>
        </is>
      </c>
      <c r="O4" s="14" t="inlineStr">
        <is>
          <t>Estado</t>
        </is>
      </c>
      <c r="P4" s="14" t="inlineStr">
        <is>
          <t>Origen</t>
        </is>
      </c>
      <c r="Q4" s="14" t="inlineStr">
        <is>
          <t>Agente / responsable</t>
        </is>
      </c>
      <c r="R4" s="14" t="inlineStr">
        <is>
          <t>Bloqueo externo</t>
        </is>
      </c>
    </row>
    <row r="5">
      <c r="A5" s="19" t="inlineStr">
        <is>
          <t>1.1</t>
        </is>
      </c>
      <c r="B5" s="4" t="inlineStr">
        <is>
          <t>1. Diseño y arquitectura</t>
        </is>
      </c>
      <c r="C5" s="7" t="inlineStr">
        <is>
          <t>Diseño visual de las 6 pantallas (PC 1280 px y celular 390 px)</t>
        </is>
      </c>
      <c r="D5" s="5" t="n">
        <v>4</v>
      </c>
      <c r="E5" s="8">
        <f>D5</f>
        <v/>
      </c>
      <c r="F5" s="4" t="inlineStr">
        <is>
          <t>—</t>
        </is>
      </c>
      <c r="G5" s="7" t="inlineStr">
        <is>
          <t>Sí</t>
        </is>
      </c>
      <c r="H5" s="7" t="inlineStr">
        <is>
          <t>1.3, 1.2</t>
        </is>
      </c>
      <c r="I5" s="18" t="inlineStr">
        <is>
          <t>A</t>
        </is>
      </c>
      <c r="J5" s="8" t="n">
        <v>0</v>
      </c>
      <c r="K5" s="8" t="n">
        <v>0</v>
      </c>
      <c r="L5" s="8">
        <f>K5+E5</f>
        <v/>
      </c>
      <c r="M5" s="8">
        <f>K5-J5</f>
        <v/>
      </c>
      <c r="N5" s="8">
        <f>"S"&amp;(INT(K5/Resumen!$C$5)+1)&amp;"–S"&amp;MAX(INT(K5/Resumen!$C$5)+1,ROUNDUP(L5/Resumen!$C$5,0))</f>
        <v/>
      </c>
      <c r="O5" s="8" t="inlineStr">
        <is>
          <t>Hecho</t>
        </is>
      </c>
      <c r="P5" s="8" t="inlineStr">
        <is>
          <t>Propuesta</t>
        </is>
      </c>
      <c r="Q5" s="7" t="inlineStr">
        <is>
          <t>—</t>
        </is>
      </c>
      <c r="R5" s="7" t="inlineStr"/>
    </row>
    <row r="6">
      <c r="A6" s="19" t="inlineStr">
        <is>
          <t>1.2</t>
        </is>
      </c>
      <c r="B6" s="4" t="inlineStr">
        <is>
          <t>1. Diseño y arquitectura</t>
        </is>
      </c>
      <c r="C6" s="7" t="inlineStr">
        <is>
          <t>Modelo de datos en Supabase (perfiles, grados, solicitudes, convenios)</t>
        </is>
      </c>
      <c r="D6" s="5" t="n">
        <v>3</v>
      </c>
      <c r="E6" s="8">
        <f>D6</f>
        <v/>
      </c>
      <c r="F6" s="4" t="inlineStr">
        <is>
          <t>—</t>
        </is>
      </c>
      <c r="G6" s="7" t="inlineStr">
        <is>
          <t>Sí</t>
        </is>
      </c>
      <c r="H6" s="7" t="inlineStr">
        <is>
          <t>1.1</t>
        </is>
      </c>
      <c r="I6" s="18" t="inlineStr">
        <is>
          <t>B</t>
        </is>
      </c>
      <c r="J6" s="8" t="n">
        <v>0</v>
      </c>
      <c r="K6" s="8" t="n">
        <v>1</v>
      </c>
      <c r="L6" s="8">
        <f>K6+E6</f>
        <v/>
      </c>
      <c r="M6" s="8">
        <f>K6-J6</f>
        <v/>
      </c>
      <c r="N6" s="8">
        <f>"S"&amp;(INT(K6/Resumen!$C$5)+1)&amp;"–S"&amp;MAX(INT(K6/Resumen!$C$5)+1,ROUNDUP(L6/Resumen!$C$5,0))</f>
        <v/>
      </c>
      <c r="O6" s="8" t="inlineStr">
        <is>
          <t>Hecho</t>
        </is>
      </c>
      <c r="P6" s="8" t="inlineStr">
        <is>
          <t>Propuesta</t>
        </is>
      </c>
      <c r="Q6" s="7" t="inlineStr">
        <is>
          <t>ga-auditor-supabase</t>
        </is>
      </c>
      <c r="R6" s="7" t="inlineStr"/>
    </row>
    <row r="7">
      <c r="A7" s="19" t="inlineStr">
        <is>
          <t>1.3</t>
        </is>
      </c>
      <c r="B7" s="4" t="inlineStr">
        <is>
          <t>1. Diseño y arquitectura</t>
        </is>
      </c>
      <c r="C7" s="7" t="inlineStr">
        <is>
          <t>Stack y proyecto base (Next.js 16, Supabase, Resend)</t>
        </is>
      </c>
      <c r="D7" s="5" t="n">
        <v>1</v>
      </c>
      <c r="E7" s="8">
        <f>D7</f>
        <v/>
      </c>
      <c r="F7" s="4" t="inlineStr">
        <is>
          <t>—</t>
        </is>
      </c>
      <c r="G7" s="7" t="inlineStr">
        <is>
          <t>Sí</t>
        </is>
      </c>
      <c r="H7" s="7" t="inlineStr">
        <is>
          <t>1.1</t>
        </is>
      </c>
      <c r="I7" s="18" t="inlineStr">
        <is>
          <t>B</t>
        </is>
      </c>
      <c r="J7" s="8" t="n">
        <v>0</v>
      </c>
      <c r="K7" s="8" t="n">
        <v>0</v>
      </c>
      <c r="L7" s="8">
        <f>K7+E7</f>
        <v/>
      </c>
      <c r="M7" s="8">
        <f>K7-J7</f>
        <v/>
      </c>
      <c r="N7" s="8">
        <f>"S"&amp;(INT(K7/Resumen!$C$5)+1)&amp;"–S"&amp;MAX(INT(K7/Resumen!$C$5)+1,ROUNDUP(L7/Resumen!$C$5,0))</f>
        <v/>
      </c>
      <c r="O7" s="8" t="inlineStr">
        <is>
          <t>Hecho</t>
        </is>
      </c>
      <c r="P7" s="8" t="inlineStr">
        <is>
          <t>Propuesta</t>
        </is>
      </c>
      <c r="Q7" s="7" t="inlineStr">
        <is>
          <t>—</t>
        </is>
      </c>
      <c r="R7" s="7" t="inlineStr"/>
    </row>
    <row r="8">
      <c r="A8" s="19" t="inlineStr">
        <is>
          <t>1.4</t>
        </is>
      </c>
      <c r="B8" s="4" t="inlineStr">
        <is>
          <t>1. Diseño y arquitectura</t>
        </is>
      </c>
      <c r="C8" s="7" t="inlineStr">
        <is>
          <t>Tokens de diseño y componentes UI (Tailwind, globals.css)</t>
        </is>
      </c>
      <c r="D8" s="5" t="n">
        <v>2</v>
      </c>
      <c r="E8" s="8">
        <f>D8</f>
        <v/>
      </c>
      <c r="F8" s="4" t="inlineStr">
        <is>
          <t>1.1, 1.3</t>
        </is>
      </c>
      <c r="G8" s="7" t="inlineStr">
        <is>
          <t>Sí</t>
        </is>
      </c>
      <c r="H8" s="7" t="inlineStr">
        <is>
          <t>2.4</t>
        </is>
      </c>
      <c r="I8" s="18" t="inlineStr">
        <is>
          <t>A</t>
        </is>
      </c>
      <c r="J8" s="8" t="n">
        <v>4</v>
      </c>
      <c r="K8" s="8" t="n">
        <v>4</v>
      </c>
      <c r="L8" s="8">
        <f>K8+E8</f>
        <v/>
      </c>
      <c r="M8" s="8">
        <f>K8-J8</f>
        <v/>
      </c>
      <c r="N8" s="8">
        <f>"S"&amp;(INT(K8/Resumen!$C$5)+1)&amp;"–S"&amp;MAX(INT(K8/Resumen!$C$5)+1,ROUNDUP(L8/Resumen!$C$5,0))</f>
        <v/>
      </c>
      <c r="O8" s="8" t="inlineStr">
        <is>
          <t>Hecho</t>
        </is>
      </c>
      <c r="P8" s="8" t="inlineStr">
        <is>
          <t>Propuesta</t>
        </is>
      </c>
      <c r="Q8" s="7" t="inlineStr">
        <is>
          <t>ga-diseno-a-codigo</t>
        </is>
      </c>
      <c r="R8" s="7" t="inlineStr"/>
    </row>
    <row r="9">
      <c r="A9" s="19" t="inlineStr">
        <is>
          <t>1.5</t>
        </is>
      </c>
      <c r="B9" s="4" t="inlineStr">
        <is>
          <t>1. Diseño y arquitectura</t>
        </is>
      </c>
      <c r="C9" s="7" t="inlineStr">
        <is>
          <t>Modelo de datos fase 2: rol asesor, afiliación v2 (fotos), bucket privado de documentos y sorteo mensual (6 migraciones + seed)</t>
        </is>
      </c>
      <c r="D9" s="5" t="n">
        <v>5</v>
      </c>
      <c r="E9" s="8">
        <f>D9</f>
        <v/>
      </c>
      <c r="F9" s="4" t="inlineStr">
        <is>
          <t>1.2</t>
        </is>
      </c>
      <c r="G9" s="7" t="inlineStr">
        <is>
          <t>Sí</t>
        </is>
      </c>
      <c r="H9" s="7" t="inlineStr">
        <is>
          <t>4.2, 2.9</t>
        </is>
      </c>
      <c r="I9" s="18" t="inlineStr">
        <is>
          <t>B</t>
        </is>
      </c>
      <c r="J9" s="8" t="n">
        <v>4</v>
      </c>
      <c r="K9" s="8" t="n">
        <v>20</v>
      </c>
      <c r="L9" s="8">
        <f>K9+E9</f>
        <v/>
      </c>
      <c r="M9" s="8">
        <f>K9-J9</f>
        <v/>
      </c>
      <c r="N9" s="8">
        <f>"S"&amp;(INT(K9/Resumen!$C$5)+1)&amp;"–S"&amp;MAX(INT(K9/Resumen!$C$5)+1,ROUNDUP(L9/Resumen!$C$5,0))</f>
        <v/>
      </c>
      <c r="O9" s="8" t="inlineStr">
        <is>
          <t>Hecho</t>
        </is>
      </c>
      <c r="P9" s="8" t="inlineStr">
        <is>
          <t>Agregado</t>
        </is>
      </c>
      <c r="Q9" s="7" t="inlineStr">
        <is>
          <t>ga-auditor-supabase</t>
        </is>
      </c>
      <c r="R9" s="7" t="inlineStr"/>
    </row>
    <row r="10">
      <c r="A10" s="19" t="inlineStr">
        <is>
          <t>1.6</t>
        </is>
      </c>
      <c r="B10" s="4" t="inlineStr">
        <is>
          <t>1. Diseño y arquitectura</t>
        </is>
      </c>
      <c r="C10" s="7" t="inlineStr">
        <is>
          <t>Auditoría de las migraciones de fase 2 y 3 migraciones correctivas de seguridad (boleta del sorteo oculta, asesor degradado, trigger de sincronía app_metadata)</t>
        </is>
      </c>
      <c r="D10" s="5" t="n">
        <v>3</v>
      </c>
      <c r="E10" s="8">
        <f>D10</f>
        <v/>
      </c>
      <c r="F10" s="4" t="inlineStr">
        <is>
          <t>1.5</t>
        </is>
      </c>
      <c r="G10" s="7" t="inlineStr">
        <is>
          <t>Sí</t>
        </is>
      </c>
      <c r="H10" s="7" t="inlineStr">
        <is>
          <t>2.12, 5.5, 3.9</t>
        </is>
      </c>
      <c r="I10" s="18" t="inlineStr">
        <is>
          <t>B</t>
        </is>
      </c>
      <c r="J10" s="8" t="n">
        <v>25</v>
      </c>
      <c r="K10" s="8" t="n">
        <v>39</v>
      </c>
      <c r="L10" s="8">
        <f>K10+E10</f>
        <v/>
      </c>
      <c r="M10" s="8">
        <f>K10-J10</f>
        <v/>
      </c>
      <c r="N10" s="8">
        <f>"S"&amp;(INT(K10/Resumen!$C$5)+1)&amp;"–S"&amp;MAX(INT(K10/Resumen!$C$5)+1,ROUNDUP(L10/Resumen!$C$5,0))</f>
        <v/>
      </c>
      <c r="O10" s="8" t="inlineStr">
        <is>
          <t>Hecho</t>
        </is>
      </c>
      <c r="P10" s="8" t="inlineStr">
        <is>
          <t>Agregado</t>
        </is>
      </c>
      <c r="Q10" s="7" t="inlineStr">
        <is>
          <t>ga-auditor-supabase</t>
        </is>
      </c>
      <c r="R10" s="7" t="inlineStr"/>
    </row>
    <row r="11">
      <c r="A11" s="19" t="inlineStr">
        <is>
          <t>1.7</t>
        </is>
      </c>
      <c r="B11" s="4" t="inlineStr">
        <is>
          <t>1. Diseño y arquitectura</t>
        </is>
      </c>
      <c r="C11" s="7" t="inlineStr">
        <is>
          <t>Rediseño C+: design system y tokens (colores claro/oscuro, tipografía, radios, sombras, movimiento) en el lienzo y en globals.css/tailwind.config.ts</t>
        </is>
      </c>
      <c r="D11" s="5" t="n">
        <v>2</v>
      </c>
      <c r="E11" s="8">
        <f>D11</f>
        <v/>
      </c>
      <c r="F11" s="4" t="inlineStr">
        <is>
          <t>1.4</t>
        </is>
      </c>
      <c r="G11" s="7" t="inlineStr">
        <is>
          <t>Sí</t>
        </is>
      </c>
      <c r="H11" s="7" t="inlineStr">
        <is>
          <t>2.12</t>
        </is>
      </c>
      <c r="I11" s="18" t="inlineStr">
        <is>
          <t>B</t>
        </is>
      </c>
      <c r="J11" s="8" t="n">
        <v>6</v>
      </c>
      <c r="K11" s="8" t="n">
        <v>37</v>
      </c>
      <c r="L11" s="8">
        <f>K11+E11</f>
        <v/>
      </c>
      <c r="M11" s="8">
        <f>K11-J11</f>
        <v/>
      </c>
      <c r="N11" s="8">
        <f>"S"&amp;(INT(K11/Resumen!$C$5)+1)&amp;"–S"&amp;MAX(INT(K11/Resumen!$C$5)+1,ROUNDUP(L11/Resumen!$C$5,0))</f>
        <v/>
      </c>
      <c r="O11" s="8" t="inlineStr">
        <is>
          <t>Hecho</t>
        </is>
      </c>
      <c r="P11" s="8" t="inlineStr">
        <is>
          <t>Agregado</t>
        </is>
      </c>
      <c r="Q11" s="7" t="inlineStr">
        <is>
          <t>ga-disenador-lienzo + ga-diseno-a-codigo</t>
        </is>
      </c>
      <c r="R11" s="7" t="inlineStr"/>
    </row>
    <row r="12">
      <c r="A12" s="19" t="inlineStr">
        <is>
          <t>1.8</t>
        </is>
      </c>
      <c r="B12" s="4" t="inlineStr">
        <is>
          <t>1. Diseño y arquitectura</t>
        </is>
      </c>
      <c r="C12" s="7" t="inlineStr">
        <is>
          <t>Backend del rediseño C+: revisar y aplicar 5 migraciones propuestas (aviso del sorteo, institución/activo en perfiles, historial + nota interna del admin, Realtime de solicitudes, índices de búsqueda)</t>
        </is>
      </c>
      <c r="D12" s="5" t="n">
        <v>2</v>
      </c>
      <c r="E12" s="8">
        <f>D12</f>
        <v/>
      </c>
      <c r="F12" s="4" t="inlineStr">
        <is>
          <t>1.6</t>
        </is>
      </c>
      <c r="G12" s="7" t="inlineStr">
        <is>
          <t>Sí</t>
        </is>
      </c>
      <c r="H12" s="7" t="inlineStr">
        <is>
          <t>6.3</t>
        </is>
      </c>
      <c r="I12" s="18" t="inlineStr">
        <is>
          <t>B</t>
        </is>
      </c>
      <c r="J12" s="8" t="n">
        <v>64</v>
      </c>
      <c r="K12" s="8" t="n">
        <v>71</v>
      </c>
      <c r="L12" s="8">
        <f>K12+E12</f>
        <v/>
      </c>
      <c r="M12" s="8">
        <f>K12-J12</f>
        <v/>
      </c>
      <c r="N12" s="8">
        <f>"S"&amp;(INT(K12/Resumen!$C$5)+1)&amp;"–S"&amp;MAX(INT(K12/Resumen!$C$5)+1,ROUNDUP(L12/Resumen!$C$5,0))</f>
        <v/>
      </c>
      <c r="O12" s="8" t="inlineStr">
        <is>
          <t>Pendiente</t>
        </is>
      </c>
      <c r="P12" s="8" t="inlineStr">
        <is>
          <t>Agregado</t>
        </is>
      </c>
      <c r="Q12" s="7" t="inlineStr">
        <is>
          <t>Sebas (ga-auditor-supabase revisa antes)</t>
        </is>
      </c>
      <c r="R12" s="7" t="inlineStr"/>
    </row>
    <row r="13">
      <c r="A13" s="19" t="inlineStr">
        <is>
          <t>2.1</t>
        </is>
      </c>
      <c r="B13" s="7" t="inlineStr">
        <is>
          <t>2. Landing y autenticación</t>
        </is>
      </c>
      <c r="C13" s="7" t="inlineStr">
        <is>
          <t>Maquetar la landing (misión, visión, servicios)</t>
        </is>
      </c>
      <c r="D13" s="5" t="n">
        <v>3</v>
      </c>
      <c r="E13" s="8">
        <f>D13</f>
        <v/>
      </c>
      <c r="F13" s="4" t="inlineStr">
        <is>
          <t>1.4</t>
        </is>
      </c>
      <c r="G13" s="7" t="inlineStr">
        <is>
          <t>Sí</t>
        </is>
      </c>
      <c r="H13" s="7" t="inlineStr">
        <is>
          <t>4.5, 3.3</t>
        </is>
      </c>
      <c r="I13" s="18" t="inlineStr">
        <is>
          <t>B</t>
        </is>
      </c>
      <c r="J13" s="8" t="n">
        <v>6</v>
      </c>
      <c r="K13" s="8" t="n">
        <v>28</v>
      </c>
      <c r="L13" s="8">
        <f>K13+E13</f>
        <v/>
      </c>
      <c r="M13" s="8">
        <f>K13-J13</f>
        <v/>
      </c>
      <c r="N13" s="8">
        <f>"S"&amp;(INT(K13/Resumen!$C$5)+1)&amp;"–S"&amp;MAX(INT(K13/Resumen!$C$5)+1,ROUNDUP(L13/Resumen!$C$5,0))</f>
        <v/>
      </c>
      <c r="O13" s="8" t="inlineStr">
        <is>
          <t>Hecho</t>
        </is>
      </c>
      <c r="P13" s="8" t="inlineStr">
        <is>
          <t>Propuesta</t>
        </is>
      </c>
      <c r="Q13" s="7" t="inlineStr">
        <is>
          <t>ga-diseno-a-codigo</t>
        </is>
      </c>
      <c r="R13" s="7" t="inlineStr"/>
    </row>
    <row r="14">
      <c r="A14" s="19" t="inlineStr">
        <is>
          <t>2.2</t>
        </is>
      </c>
      <c r="B14" s="7" t="inlineStr">
        <is>
          <t>2. Landing y autenticación</t>
        </is>
      </c>
      <c r="C14" s="7" t="inlineStr">
        <is>
          <t>Maquetar /ingresar y /ingresar/codigo</t>
        </is>
      </c>
      <c r="D14" s="5" t="n">
        <v>2</v>
      </c>
      <c r="E14" s="8">
        <f>D14</f>
        <v/>
      </c>
      <c r="F14" s="4" t="inlineStr">
        <is>
          <t>1.4</t>
        </is>
      </c>
      <c r="G14" s="7" t="inlineStr">
        <is>
          <t>Sí</t>
        </is>
      </c>
      <c r="H14" s="7" t="inlineStr">
        <is>
          <t>3.4</t>
        </is>
      </c>
      <c r="I14" s="18" t="inlineStr">
        <is>
          <t>A</t>
        </is>
      </c>
      <c r="J14" s="8" t="n">
        <v>6</v>
      </c>
      <c r="K14" s="8" t="n">
        <v>6</v>
      </c>
      <c r="L14" s="8">
        <f>K14+E14</f>
        <v/>
      </c>
      <c r="M14" s="8">
        <f>K14-J14</f>
        <v/>
      </c>
      <c r="N14" s="8">
        <f>"S"&amp;(INT(K14/Resumen!$C$5)+1)&amp;"–S"&amp;MAX(INT(K14/Resumen!$C$5)+1,ROUNDUP(L14/Resumen!$C$5,0))</f>
        <v/>
      </c>
      <c r="O14" s="8" t="inlineStr">
        <is>
          <t>Hecho</t>
        </is>
      </c>
      <c r="P14" s="8" t="inlineStr">
        <is>
          <t>Propuesta</t>
        </is>
      </c>
      <c r="Q14" s="7" t="inlineStr">
        <is>
          <t>ga-diseno-a-codigo</t>
        </is>
      </c>
      <c r="R14" s="7" t="inlineStr"/>
    </row>
    <row r="15">
      <c r="A15" s="19" t="inlineStr">
        <is>
          <t>2.3</t>
        </is>
      </c>
      <c r="B15" s="7" t="inlineStr">
        <is>
          <t>2. Landing y autenticación</t>
        </is>
      </c>
      <c r="C15" s="7" t="inlineStr">
        <is>
          <t>Maquetar /afiliacion y /afiliacion/enviada</t>
        </is>
      </c>
      <c r="D15" s="5" t="n">
        <v>2</v>
      </c>
      <c r="E15" s="8">
        <f>D15</f>
        <v/>
      </c>
      <c r="F15" s="4" t="inlineStr">
        <is>
          <t>1.4</t>
        </is>
      </c>
      <c r="G15" s="7" t="inlineStr">
        <is>
          <t>Sí</t>
        </is>
      </c>
      <c r="H15" s="7" t="inlineStr">
        <is>
          <t>2.6, 2.7</t>
        </is>
      </c>
      <c r="I15" s="18" t="inlineStr">
        <is>
          <t>B</t>
        </is>
      </c>
      <c r="J15" s="8" t="n">
        <v>6</v>
      </c>
      <c r="K15" s="8" t="n">
        <v>13</v>
      </c>
      <c r="L15" s="8">
        <f>K15+E15</f>
        <v/>
      </c>
      <c r="M15" s="8">
        <f>K15-J15</f>
        <v/>
      </c>
      <c r="N15" s="8">
        <f>"S"&amp;(INT(K15/Resumen!$C$5)+1)&amp;"–S"&amp;MAX(INT(K15/Resumen!$C$5)+1,ROUNDUP(L15/Resumen!$C$5,0))</f>
        <v/>
      </c>
      <c r="O15" s="8" t="inlineStr">
        <is>
          <t>Hecho</t>
        </is>
      </c>
      <c r="P15" s="8" t="inlineStr">
        <is>
          <t>Agregado</t>
        </is>
      </c>
      <c r="Q15" s="7" t="inlineStr">
        <is>
          <t>ga-diseno-a-codigo</t>
        </is>
      </c>
      <c r="R15" s="7" t="inlineStr"/>
    </row>
    <row r="16">
      <c r="A16" s="19" t="inlineStr">
        <is>
          <t>2.4</t>
        </is>
      </c>
      <c r="B16" s="7" t="inlineStr">
        <is>
          <t>2. Landing y autenticación</t>
        </is>
      </c>
      <c r="C16" s="7" t="inlineStr">
        <is>
          <t>SMTP propio con Resend y plantilla del código OTP en Supabase</t>
        </is>
      </c>
      <c r="D16" s="5" t="n">
        <v>2</v>
      </c>
      <c r="E16" s="8">
        <f>D16</f>
        <v/>
      </c>
      <c r="F16" s="4" t="inlineStr">
        <is>
          <t>1.3</t>
        </is>
      </c>
      <c r="G16" s="7" t="inlineStr">
        <is>
          <t>Sí</t>
        </is>
      </c>
      <c r="H16" s="7" t="inlineStr">
        <is>
          <t>1.4</t>
        </is>
      </c>
      <c r="I16" s="18" t="inlineStr">
        <is>
          <t>B</t>
        </is>
      </c>
      <c r="J16" s="8" t="n">
        <v>1</v>
      </c>
      <c r="K16" s="8" t="n">
        <v>4</v>
      </c>
      <c r="L16" s="8">
        <f>K16+E16</f>
        <v/>
      </c>
      <c r="M16" s="8">
        <f>K16-J16</f>
        <v/>
      </c>
      <c r="N16" s="8">
        <f>"S"&amp;(INT(K16/Resumen!$C$5)+1)&amp;"–S"&amp;MAX(INT(K16/Resumen!$C$5)+1,ROUNDUP(L16/Resumen!$C$5,0))</f>
        <v/>
      </c>
      <c r="O16" s="8" t="inlineStr">
        <is>
          <t>Hecho</t>
        </is>
      </c>
      <c r="P16" s="8" t="inlineStr">
        <is>
          <t>Agregado</t>
        </is>
      </c>
      <c r="Q16" s="7" t="inlineStr">
        <is>
          <t>Yo (panel Supabase)</t>
        </is>
      </c>
      <c r="R16" s="7" t="inlineStr"/>
    </row>
    <row r="17">
      <c r="A17" s="19" t="inlineStr">
        <is>
          <t>2.5</t>
        </is>
      </c>
      <c r="B17" s="7" t="inlineStr">
        <is>
          <t>2. Landing y autenticación</t>
        </is>
      </c>
      <c r="C17" s="7" t="inlineStr">
        <is>
          <t>/ingresar: Server Action (correo por cédula, envío OTP, cookie firmada)</t>
        </is>
      </c>
      <c r="D17" s="5" t="n">
        <v>3</v>
      </c>
      <c r="E17" s="8">
        <f>D17</f>
        <v/>
      </c>
      <c r="F17" s="4" t="inlineStr">
        <is>
          <t>2.2</t>
        </is>
      </c>
      <c r="G17" s="7" t="inlineStr">
        <is>
          <t>Sí</t>
        </is>
      </c>
      <c r="H17" s="7" t="inlineStr">
        <is>
          <t>3.4, 3.1</t>
        </is>
      </c>
      <c r="I17" s="18" t="inlineStr">
        <is>
          <t>A</t>
        </is>
      </c>
      <c r="J17" s="8" t="n">
        <v>8</v>
      </c>
      <c r="K17" s="8" t="n">
        <v>8</v>
      </c>
      <c r="L17" s="8">
        <f>K17+E17</f>
        <v/>
      </c>
      <c r="M17" s="8">
        <f>K17-J17</f>
        <v/>
      </c>
      <c r="N17" s="8">
        <f>"S"&amp;(INT(K17/Resumen!$C$5)+1)&amp;"–S"&amp;MAX(INT(K17/Resumen!$C$5)+1,ROUNDUP(L17/Resumen!$C$5,0))</f>
        <v/>
      </c>
      <c r="O17" s="8" t="inlineStr">
        <is>
          <t>Hecho</t>
        </is>
      </c>
      <c r="P17" s="8" t="inlineStr">
        <is>
          <t>Propuesta</t>
        </is>
      </c>
      <c r="Q17" s="7" t="inlineStr">
        <is>
          <t>ga-funcionalidad-botones</t>
        </is>
      </c>
      <c r="R17" s="7" t="inlineStr"/>
    </row>
    <row r="18">
      <c r="A18" s="19" t="inlineStr">
        <is>
          <t>2.6</t>
        </is>
      </c>
      <c r="B18" s="7" t="inlineStr">
        <is>
          <t>2. Landing y autenticación</t>
        </is>
      </c>
      <c r="C18" s="7" t="inlineStr">
        <is>
          <t>/ingresar/codigo: verificar OTP, casillas, reenviar (45 s), cambiar cédula</t>
        </is>
      </c>
      <c r="D18" s="5" t="n">
        <v>3</v>
      </c>
      <c r="E18" s="8">
        <f>D18</f>
        <v/>
      </c>
      <c r="F18" s="4" t="inlineStr">
        <is>
          <t>2.5</t>
        </is>
      </c>
      <c r="G18" s="7" t="inlineStr">
        <is>
          <t>Sí</t>
        </is>
      </c>
      <c r="H18" s="7" t="inlineStr">
        <is>
          <t>3.1, 2.3</t>
        </is>
      </c>
      <c r="I18" s="18" t="inlineStr">
        <is>
          <t>A</t>
        </is>
      </c>
      <c r="J18" s="8" t="n">
        <v>11</v>
      </c>
      <c r="K18" s="8" t="n">
        <v>11</v>
      </c>
      <c r="L18" s="8">
        <f>K18+E18</f>
        <v/>
      </c>
      <c r="M18" s="8">
        <f>K18-J18</f>
        <v/>
      </c>
      <c r="N18" s="8">
        <f>"S"&amp;(INT(K18/Resumen!$C$5)+1)&amp;"–S"&amp;MAX(INT(K18/Resumen!$C$5)+1,ROUNDUP(L18/Resumen!$C$5,0))</f>
        <v/>
      </c>
      <c r="O18" s="8" t="inlineStr">
        <is>
          <t>Hecho</t>
        </is>
      </c>
      <c r="P18" s="8" t="inlineStr">
        <is>
          <t>Propuesta</t>
        </is>
      </c>
      <c r="Q18" s="7" t="inlineStr">
        <is>
          <t>ga-funcionalidad-botones</t>
        </is>
      </c>
      <c r="R18" s="7" t="inlineStr"/>
    </row>
    <row r="19">
      <c r="A19" s="19" t="inlineStr">
        <is>
          <t>2.7</t>
        </is>
      </c>
      <c r="B19" s="7" t="inlineStr">
        <is>
          <t>2. Landing y autenticación</t>
        </is>
      </c>
      <c r="C19" s="7" t="inlineStr">
        <is>
          <t>Proteger /cuenta en proxy.ts y botón «Salir»</t>
        </is>
      </c>
      <c r="D19" s="5" t="n">
        <v>2</v>
      </c>
      <c r="E19" s="8">
        <f>D19</f>
        <v/>
      </c>
      <c r="F19" s="4" t="inlineStr">
        <is>
          <t>2.6</t>
        </is>
      </c>
      <c r="G19" s="7" t="inlineStr">
        <is>
          <t>Sí</t>
        </is>
      </c>
      <c r="H19" s="7" t="inlineStr">
        <is>
          <t>2.3, 6.10</t>
        </is>
      </c>
      <c r="I19" s="18" t="inlineStr">
        <is>
          <t>A</t>
        </is>
      </c>
      <c r="J19" s="8" t="n">
        <v>14</v>
      </c>
      <c r="K19" s="8" t="n">
        <v>14</v>
      </c>
      <c r="L19" s="8">
        <f>K19+E19</f>
        <v/>
      </c>
      <c r="M19" s="8">
        <f>K19-J19</f>
        <v/>
      </c>
      <c r="N19" s="8">
        <f>"S"&amp;(INT(K19/Resumen!$C$5)+1)&amp;"–S"&amp;MAX(INT(K19/Resumen!$C$5)+1,ROUNDUP(L19/Resumen!$C$5,0))</f>
        <v/>
      </c>
      <c r="O19" s="8" t="inlineStr">
        <is>
          <t>Hecho</t>
        </is>
      </c>
      <c r="P19" s="8" t="inlineStr">
        <is>
          <t>Propuesta</t>
        </is>
      </c>
      <c r="Q19" s="7" t="inlineStr">
        <is>
          <t>ga-funcionalidad-botones</t>
        </is>
      </c>
      <c r="R19" s="7" t="inlineStr"/>
    </row>
    <row r="20">
      <c r="A20" s="19" t="inlineStr">
        <is>
          <t>2.8</t>
        </is>
      </c>
      <c r="B20" s="7" t="inlineStr">
        <is>
          <t>2. Landing y autenticación</t>
        </is>
      </c>
      <c r="C20" s="7" t="inlineStr">
        <is>
          <t>Landing: botones llevan a /cuenta si hay sesión</t>
        </is>
      </c>
      <c r="D20" s="5" t="n">
        <v>1</v>
      </c>
      <c r="E20" s="8">
        <f>D20</f>
        <v/>
      </c>
      <c r="F20" s="4" t="inlineStr">
        <is>
          <t>2.7, 2.1</t>
        </is>
      </c>
      <c r="G20" s="7" t="inlineStr">
        <is>
          <t>Sí</t>
        </is>
      </c>
      <c r="H20" s="7" t="inlineStr">
        <is>
          <t>2.14</t>
        </is>
      </c>
      <c r="I20" s="18" t="inlineStr">
        <is>
          <t>A</t>
        </is>
      </c>
      <c r="J20" s="8" t="n">
        <v>31</v>
      </c>
      <c r="K20" s="8" t="n">
        <v>46</v>
      </c>
      <c r="L20" s="8">
        <f>K20+E20</f>
        <v/>
      </c>
      <c r="M20" s="8">
        <f>K20-J20</f>
        <v/>
      </c>
      <c r="N20" s="8">
        <f>"S"&amp;(INT(K20/Resumen!$C$5)+1)&amp;"–S"&amp;MAX(INT(K20/Resumen!$C$5)+1,ROUNDUP(L20/Resumen!$C$5,0))</f>
        <v/>
      </c>
      <c r="O20" s="8" t="inlineStr">
        <is>
          <t>Hecho</t>
        </is>
      </c>
      <c r="P20" s="8" t="inlineStr">
        <is>
          <t>Propuesta</t>
        </is>
      </c>
      <c r="Q20" s="7" t="inlineStr">
        <is>
          <t>ga-funcionalidad-botones</t>
        </is>
      </c>
      <c r="R20" s="7" t="inlineStr"/>
    </row>
    <row r="21">
      <c r="A21" s="19" t="inlineStr">
        <is>
          <t>2.9</t>
        </is>
      </c>
      <c r="B21" s="7" t="inlineStr">
        <is>
          <t>2. Landing y autenticación</t>
        </is>
      </c>
      <c r="C21" s="7" t="inlineStr">
        <is>
          <t>/afiliacion: Server Action (zod, límites, honeypot, guardar)</t>
        </is>
      </c>
      <c r="D21" s="5" t="n">
        <v>4</v>
      </c>
      <c r="E21" s="8">
        <f>D21</f>
        <v/>
      </c>
      <c r="F21" s="4" t="inlineStr">
        <is>
          <t>2.3</t>
        </is>
      </c>
      <c r="G21" s="7" t="inlineStr">
        <is>
          <t>Sí</t>
        </is>
      </c>
      <c r="H21" s="7" t="inlineStr">
        <is>
          <t>1.5, 3.6</t>
        </is>
      </c>
      <c r="I21" s="18" t="inlineStr">
        <is>
          <t>A</t>
        </is>
      </c>
      <c r="J21" s="8" t="n">
        <v>15</v>
      </c>
      <c r="K21" s="8" t="n">
        <v>23</v>
      </c>
      <c r="L21" s="8">
        <f>K21+E21</f>
        <v/>
      </c>
      <c r="M21" s="8">
        <f>K21-J21</f>
        <v/>
      </c>
      <c r="N21" s="8">
        <f>"S"&amp;(INT(K21/Resumen!$C$5)+1)&amp;"–S"&amp;MAX(INT(K21/Resumen!$C$5)+1,ROUNDUP(L21/Resumen!$C$5,0))</f>
        <v/>
      </c>
      <c r="O21" s="8" t="inlineStr">
        <is>
          <t>Hecho</t>
        </is>
      </c>
      <c r="P21" s="8" t="inlineStr">
        <is>
          <t>Agregado</t>
        </is>
      </c>
      <c r="Q21" s="7" t="inlineStr">
        <is>
          <t>ga-funcionalidad-botones</t>
        </is>
      </c>
      <c r="R21" s="7" t="inlineStr"/>
    </row>
    <row r="22">
      <c r="A22" s="19" t="inlineStr">
        <is>
          <t>2.10</t>
        </is>
      </c>
      <c r="B22" s="7" t="inlineStr">
        <is>
          <t>2. Landing y autenticación</t>
        </is>
      </c>
      <c r="C22" s="7" t="inlineStr">
        <is>
          <t>/afiliacion/enviada: mostrar el correo real o redirigir</t>
        </is>
      </c>
      <c r="D22" s="5" t="n">
        <v>1</v>
      </c>
      <c r="E22" s="8">
        <f>D22</f>
        <v/>
      </c>
      <c r="F22" s="4" t="inlineStr">
        <is>
          <t>2.9</t>
        </is>
      </c>
      <c r="G22" s="7" t="inlineStr">
        <is>
          <t>Sí</t>
        </is>
      </c>
      <c r="H22" s="7" t="inlineStr">
        <is>
          <t>4.5</t>
        </is>
      </c>
      <c r="I22" s="18" t="inlineStr">
        <is>
          <t>B</t>
        </is>
      </c>
      <c r="J22" s="8" t="n">
        <v>27</v>
      </c>
      <c r="K22" s="8" t="n">
        <v>27</v>
      </c>
      <c r="L22" s="8">
        <f>K22+E22</f>
        <v/>
      </c>
      <c r="M22" s="8">
        <f>K22-J22</f>
        <v/>
      </c>
      <c r="N22" s="8">
        <f>"S"&amp;(INT(K22/Resumen!$C$5)+1)&amp;"–S"&amp;MAX(INT(K22/Resumen!$C$5)+1,ROUNDUP(L22/Resumen!$C$5,0))</f>
        <v/>
      </c>
      <c r="O22" s="8" t="inlineStr">
        <is>
          <t>Hecho</t>
        </is>
      </c>
      <c r="P22" s="8" t="inlineStr">
        <is>
          <t>Agregado</t>
        </is>
      </c>
      <c r="Q22" s="7" t="inlineStr">
        <is>
          <t>ga-funcionalidad-botones</t>
        </is>
      </c>
      <c r="R22" s="7" t="inlineStr"/>
    </row>
    <row r="23">
      <c r="A23" s="19" t="inlineStr">
        <is>
          <t>2.11</t>
        </is>
      </c>
      <c r="B23" s="7" t="inlineStr">
        <is>
          <t>2. Landing y autenticación</t>
        </is>
      </c>
      <c r="C23" s="7" t="inlineStr">
        <is>
          <t>Corregir F-01: el select «Grado» de /afiliacion se vacía tras un error de validación</t>
        </is>
      </c>
      <c r="D23" s="5" t="n">
        <v>1</v>
      </c>
      <c r="E23" s="8">
        <f>D23</f>
        <v/>
      </c>
      <c r="F23" s="4" t="inlineStr">
        <is>
          <t>2.9</t>
        </is>
      </c>
      <c r="G23" s="7" t="inlineStr">
        <is>
          <t>Sí</t>
        </is>
      </c>
      <c r="H23" s="7" t="inlineStr">
        <is>
          <t>5.4</t>
        </is>
      </c>
      <c r="I23" s="18" t="inlineStr">
        <is>
          <t>B</t>
        </is>
      </c>
      <c r="J23" s="8" t="n">
        <v>64</v>
      </c>
      <c r="K23" s="8" t="n">
        <v>64</v>
      </c>
      <c r="L23" s="8">
        <f>K23+E23</f>
        <v/>
      </c>
      <c r="M23" s="8">
        <f>K23-J23</f>
        <v/>
      </c>
      <c r="N23" s="8">
        <f>"S"&amp;(INT(K23/Resumen!$C$5)+1)&amp;"–S"&amp;MAX(INT(K23/Resumen!$C$5)+1,ROUNDUP(L23/Resumen!$C$5,0))</f>
        <v/>
      </c>
      <c r="O23" s="8" t="inlineStr">
        <is>
          <t>Pendiente</t>
        </is>
      </c>
      <c r="P23" s="8" t="inlineStr">
        <is>
          <t>Agregado</t>
        </is>
      </c>
      <c r="Q23" s="7" t="inlineStr">
        <is>
          <t>ga-funcionalidad-botones</t>
        </is>
      </c>
      <c r="R23" s="7" t="inlineStr"/>
    </row>
    <row r="24">
      <c r="A24" s="19" t="inlineStr">
        <is>
          <t>2.12</t>
        </is>
      </c>
      <c r="B24" s="7" t="inlineStr">
        <is>
          <t>2. Landing y autenticación</t>
        </is>
      </c>
      <c r="C24" s="7" t="inlineStr">
        <is>
          <t>Afiliación v2: nombres/apellidos, institución con correo institucional, Nequi, asesor y 3 fotos (cédula + selfie) con subida al bucket privado</t>
        </is>
      </c>
      <c r="D24" s="5" t="n">
        <v>4</v>
      </c>
      <c r="E24" s="8">
        <f>D24</f>
        <v/>
      </c>
      <c r="F24" s="4" t="inlineStr">
        <is>
          <t>2.9, 1.5</t>
        </is>
      </c>
      <c r="G24" s="7" t="inlineStr">
        <is>
          <t>Sí</t>
        </is>
      </c>
      <c r="H24" s="7" t="inlineStr">
        <is>
          <t>3.7, 1.7, 1.6</t>
        </is>
      </c>
      <c r="I24" s="18" t="inlineStr">
        <is>
          <t>A</t>
        </is>
      </c>
      <c r="J24" s="8" t="n">
        <v>27</v>
      </c>
      <c r="K24" s="8" t="n">
        <v>36</v>
      </c>
      <c r="L24" s="8">
        <f>K24+E24</f>
        <v/>
      </c>
      <c r="M24" s="8">
        <f>K24-J24</f>
        <v/>
      </c>
      <c r="N24" s="8">
        <f>"S"&amp;(INT(K24/Resumen!$C$5)+1)&amp;"–S"&amp;MAX(INT(K24/Resumen!$C$5)+1,ROUNDUP(L24/Resumen!$C$5,0))</f>
        <v/>
      </c>
      <c r="O24" s="8" t="inlineStr">
        <is>
          <t>Hecho</t>
        </is>
      </c>
      <c r="P24" s="8" t="inlineStr">
        <is>
          <t>Agregado</t>
        </is>
      </c>
      <c r="Q24" s="7" t="inlineStr">
        <is>
          <t>ga-funcionalidad-botones</t>
        </is>
      </c>
      <c r="R24" s="7" t="inlineStr"/>
    </row>
    <row r="25">
      <c r="A25" s="19" t="inlineStr">
        <is>
          <t>2.13</t>
        </is>
      </c>
      <c r="B25" s="7" t="inlineStr">
        <is>
          <t>2. Landing y autenticación</t>
        </is>
      </c>
      <c r="C25" s="7" t="inlineStr">
        <is>
          <t>Bug: esquemaAfiliacion no valida el cruce institución↔correo institucional si falla cualquier otro campo del formulario</t>
        </is>
      </c>
      <c r="D25" s="5" t="n">
        <v>1</v>
      </c>
      <c r="E25" s="8">
        <f>D25</f>
        <v/>
      </c>
      <c r="F25" s="4" t="inlineStr">
        <is>
          <t>2.12</t>
        </is>
      </c>
      <c r="G25" s="7" t="inlineStr">
        <is>
          <t>Sí</t>
        </is>
      </c>
      <c r="H25" s="7" t="inlineStr">
        <is>
          <t>6.17</t>
        </is>
      </c>
      <c r="I25" s="18" t="inlineStr">
        <is>
          <t>B</t>
        </is>
      </c>
      <c r="J25" s="8" t="n">
        <v>40</v>
      </c>
      <c r="K25" s="8" t="n">
        <v>59</v>
      </c>
      <c r="L25" s="8">
        <f>K25+E25</f>
        <v/>
      </c>
      <c r="M25" s="8">
        <f>K25-J25</f>
        <v/>
      </c>
      <c r="N25" s="8">
        <f>"S"&amp;(INT(K25/Resumen!$C$5)+1)&amp;"–S"&amp;MAX(INT(K25/Resumen!$C$5)+1,ROUNDUP(L25/Resumen!$C$5,0))</f>
        <v/>
      </c>
      <c r="O25" s="8" t="inlineStr">
        <is>
          <t>Hecho</t>
        </is>
      </c>
      <c r="P25" s="8" t="inlineStr">
        <is>
          <t>Agregado</t>
        </is>
      </c>
      <c r="Q25" s="7" t="inlineStr">
        <is>
          <t>ga-funcionalidad-botones</t>
        </is>
      </c>
      <c r="R25" s="7" t="inlineStr"/>
    </row>
    <row r="26">
      <c r="A26" s="19" t="inlineStr">
        <is>
          <t>2.14</t>
        </is>
      </c>
      <c r="B26" s="7" t="inlineStr">
        <is>
          <t>2. Landing y autenticación</t>
        </is>
      </c>
      <c r="C26" s="7" t="inlineStr">
        <is>
          <t>Rediseño C+ de la landing (hero con comprobante vivo, matriz de círculos, misión/visión, servicios, sedes)</t>
        </is>
      </c>
      <c r="D26" s="5" t="n">
        <v>4</v>
      </c>
      <c r="E26" s="8">
        <f>D26</f>
        <v/>
      </c>
      <c r="F26" s="4" t="inlineStr">
        <is>
          <t>2.1, 1.7</t>
        </is>
      </c>
      <c r="G26" s="7" t="inlineStr">
        <is>
          <t>Sí</t>
        </is>
      </c>
      <c r="H26" s="7" t="inlineStr">
        <is>
          <t>6.13, 2.8, 4.10</t>
        </is>
      </c>
      <c r="I26" s="18" t="inlineStr">
        <is>
          <t>B</t>
        </is>
      </c>
      <c r="J26" s="8" t="n">
        <v>39</v>
      </c>
      <c r="K26" s="8" t="n">
        <v>45</v>
      </c>
      <c r="L26" s="8">
        <f>K26+E26</f>
        <v/>
      </c>
      <c r="M26" s="8">
        <f>K26-J26</f>
        <v/>
      </c>
      <c r="N26" s="8">
        <f>"S"&amp;(INT(K26/Resumen!$C$5)+1)&amp;"–S"&amp;MAX(INT(K26/Resumen!$C$5)+1,ROUNDUP(L26/Resumen!$C$5,0))</f>
        <v/>
      </c>
      <c r="O26" s="8" t="inlineStr">
        <is>
          <t>Hecho</t>
        </is>
      </c>
      <c r="P26" s="8" t="inlineStr">
        <is>
          <t>Agregado</t>
        </is>
      </c>
      <c r="Q26" s="7" t="inlineStr">
        <is>
          <t>ga-diseno-a-codigo</t>
        </is>
      </c>
      <c r="R26" s="7" t="inlineStr"/>
    </row>
    <row r="27">
      <c r="A27" s="19" t="inlineStr">
        <is>
          <t>2.15</t>
        </is>
      </c>
      <c r="B27" s="7" t="inlineStr">
        <is>
          <t>2. Landing y autenticación</t>
        </is>
      </c>
      <c r="C27" s="7" t="inlineStr">
        <is>
          <t>Rediseño C+ de /ingresar, /ingresar/codigo, /afiliacion y /afiliacion/enviada (maquetar según el lienzo)</t>
        </is>
      </c>
      <c r="D27" s="5" t="n">
        <v>3</v>
      </c>
      <c r="E27" s="8">
        <f>D27</f>
        <v/>
      </c>
      <c r="F27" s="4" t="inlineStr">
        <is>
          <t>2.2, 2.3, 1.7</t>
        </is>
      </c>
      <c r="G27" s="7" t="inlineStr">
        <is>
          <t>Sí</t>
        </is>
      </c>
      <c r="H27" s="7" t="inlineStr">
        <is>
          <t>5.1, 4.4</t>
        </is>
      </c>
      <c r="I27" s="18" t="inlineStr">
        <is>
          <t>A</t>
        </is>
      </c>
      <c r="J27" s="8" t="n">
        <v>39</v>
      </c>
      <c r="K27" s="8" t="n">
        <v>49</v>
      </c>
      <c r="L27" s="8">
        <f>K27+E27</f>
        <v/>
      </c>
      <c r="M27" s="8">
        <f>K27-J27</f>
        <v/>
      </c>
      <c r="N27" s="8">
        <f>"S"&amp;(INT(K27/Resumen!$C$5)+1)&amp;"–S"&amp;MAX(INT(K27/Resumen!$C$5)+1,ROUNDUP(L27/Resumen!$C$5,0))</f>
        <v/>
      </c>
      <c r="O27" s="8" t="inlineStr">
        <is>
          <t>Hecho</t>
        </is>
      </c>
      <c r="P27" s="8" t="inlineStr">
        <is>
          <t>Agregado</t>
        </is>
      </c>
      <c r="Q27" s="7" t="inlineStr">
        <is>
          <t>ga-disenador-lienzo (diseño) + ga-diseno-a-codigo (código)</t>
        </is>
      </c>
      <c r="R27" s="7" t="inlineStr"/>
    </row>
    <row r="28">
      <c r="A28" s="19" t="inlineStr">
        <is>
          <t>3.1</t>
        </is>
      </c>
      <c r="B28" s="7" t="inlineStr">
        <is>
          <t>3. Flujo de solicitud de crédito</t>
        </is>
      </c>
      <c r="C28" s="7" t="inlineStr">
        <is>
          <t>Reglas del crédito en la base (tasa mensual, mínimo 100.000, orden de llegada)</t>
        </is>
      </c>
      <c r="D28" s="5" t="n">
        <v>4</v>
      </c>
      <c r="E28" s="8">
        <f>D28</f>
        <v/>
      </c>
      <c r="F28" s="4" t="inlineStr">
        <is>
          <t>1.2</t>
        </is>
      </c>
      <c r="G28" s="7" t="inlineStr">
        <is>
          <t>Sí</t>
        </is>
      </c>
      <c r="H28" s="7" t="inlineStr">
        <is>
          <t>2.5, 2.6</t>
        </is>
      </c>
      <c r="I28" s="18" t="inlineStr">
        <is>
          <t>B</t>
        </is>
      </c>
      <c r="J28" s="8" t="n">
        <v>4</v>
      </c>
      <c r="K28" s="8" t="n">
        <v>9</v>
      </c>
      <c r="L28" s="8">
        <f>K28+E28</f>
        <v/>
      </c>
      <c r="M28" s="8">
        <f>K28-J28</f>
        <v/>
      </c>
      <c r="N28" s="8">
        <f>"S"&amp;(INT(K28/Resumen!$C$5)+1)&amp;"–S"&amp;MAX(INT(K28/Resumen!$C$5)+1,ROUNDUP(L28/Resumen!$C$5,0))</f>
        <v/>
      </c>
      <c r="O28" s="8" t="inlineStr">
        <is>
          <t>Hecho</t>
        </is>
      </c>
      <c r="P28" s="8" t="inlineStr">
        <is>
          <t>Propuesta</t>
        </is>
      </c>
      <c r="Q28" s="7" t="inlineStr">
        <is>
          <t>ga-auditor-supabase</t>
        </is>
      </c>
      <c r="R28" s="7" t="inlineStr"/>
    </row>
    <row r="29">
      <c r="A29" s="19" t="inlineStr">
        <is>
          <t>3.2</t>
        </is>
      </c>
      <c r="B29" s="7" t="inlineStr">
        <is>
          <t>3. Flujo de solicitud de crédito</t>
        </is>
      </c>
      <c r="C29" s="7" t="inlineStr">
        <is>
          <t>Pruebas de la base (131 pgTAP) y unitarias (47 Vitest)</t>
        </is>
      </c>
      <c r="D29" s="5" t="n">
        <v>3</v>
      </c>
      <c r="E29" s="8">
        <f>D29</f>
        <v/>
      </c>
      <c r="F29" s="4" t="inlineStr">
        <is>
          <t>3.1</t>
        </is>
      </c>
      <c r="G29" s="7" t="inlineStr">
        <is>
          <t>Sí</t>
        </is>
      </c>
      <c r="H29" s="7" t="inlineStr">
        <is>
          <t>6.17, 4.9</t>
        </is>
      </c>
      <c r="I29" s="18" t="inlineStr">
        <is>
          <t>B</t>
        </is>
      </c>
      <c r="J29" s="8" t="n">
        <v>13</v>
      </c>
      <c r="K29" s="8" t="n">
        <v>60</v>
      </c>
      <c r="L29" s="8">
        <f>K29+E29</f>
        <v/>
      </c>
      <c r="M29" s="8">
        <f>K29-J29</f>
        <v/>
      </c>
      <c r="N29" s="8">
        <f>"S"&amp;(INT(K29/Resumen!$C$5)+1)&amp;"–S"&amp;MAX(INT(K29/Resumen!$C$5)+1,ROUNDUP(L29/Resumen!$C$5,0))</f>
        <v/>
      </c>
      <c r="O29" s="8" t="inlineStr">
        <is>
          <t>Hecho</t>
        </is>
      </c>
      <c r="P29" s="8" t="inlineStr">
        <is>
          <t>Propuesta</t>
        </is>
      </c>
      <c r="Q29" s="7" t="inlineStr">
        <is>
          <t>ga-escritor-tests</t>
        </is>
      </c>
      <c r="R29" s="7" t="inlineStr"/>
    </row>
    <row r="30">
      <c r="A30" s="19" t="inlineStr">
        <is>
          <t>3.3</t>
        </is>
      </c>
      <c r="B30" s="7" t="inlineStr">
        <is>
          <t>3. Flujo de solicitud de crédito</t>
        </is>
      </c>
      <c r="C30" s="7" t="inlineStr">
        <is>
          <t>Formulario de solicitud de crédito (50/100 %, tope, tasa)</t>
        </is>
      </c>
      <c r="D30" s="5" t="n">
        <v>3</v>
      </c>
      <c r="E30" s="8">
        <f>D30</f>
        <v/>
      </c>
      <c r="F30" s="4" t="inlineStr">
        <is>
          <t>3.1</t>
        </is>
      </c>
      <c r="G30" s="7" t="inlineStr">
        <is>
          <t>Sí</t>
        </is>
      </c>
      <c r="H30" s="7" t="inlineStr">
        <is>
          <t>2.1, 4.6</t>
        </is>
      </c>
      <c r="I30" s="18" t="inlineStr">
        <is>
          <t>A</t>
        </is>
      </c>
      <c r="J30" s="8" t="n">
        <v>13</v>
      </c>
      <c r="K30" s="8" t="n">
        <v>30</v>
      </c>
      <c r="L30" s="8">
        <f>K30+E30</f>
        <v/>
      </c>
      <c r="M30" s="8">
        <f>K30-J30</f>
        <v/>
      </c>
      <c r="N30" s="8">
        <f>"S"&amp;(INT(K30/Resumen!$C$5)+1)&amp;"–S"&amp;MAX(INT(K30/Resumen!$C$5)+1,ROUNDUP(L30/Resumen!$C$5,0))</f>
        <v/>
      </c>
      <c r="O30" s="8" t="inlineStr">
        <is>
          <t>Hecho</t>
        </is>
      </c>
      <c r="P30" s="8" t="inlineStr">
        <is>
          <t>Propuesta</t>
        </is>
      </c>
      <c r="Q30" s="7" t="inlineStr">
        <is>
          <t>ga-funcionalidad-botones</t>
        </is>
      </c>
      <c r="R30" s="7" t="inlineStr"/>
    </row>
    <row r="31">
      <c r="A31" s="19" t="inlineStr">
        <is>
          <t>3.4</t>
        </is>
      </c>
      <c r="B31" s="7" t="inlineStr">
        <is>
          <t>3. Flujo de solicitud de crédito</t>
        </is>
      </c>
      <c r="C31" s="7" t="inlineStr">
        <is>
          <t>Maquetar /cuenta (tu solicitud, estado vacío, Mis datos)</t>
        </is>
      </c>
      <c r="D31" s="5" t="n">
        <v>3</v>
      </c>
      <c r="E31" s="8">
        <f>D31</f>
        <v/>
      </c>
      <c r="F31" s="4" t="inlineStr">
        <is>
          <t>1.4</t>
        </is>
      </c>
      <c r="G31" s="7" t="inlineStr">
        <is>
          <t>Sí</t>
        </is>
      </c>
      <c r="H31" s="7" t="inlineStr">
        <is>
          <t>2.2, 2.5</t>
        </is>
      </c>
      <c r="I31" s="18" t="inlineStr">
        <is>
          <t>B</t>
        </is>
      </c>
      <c r="J31" s="8" t="n">
        <v>6</v>
      </c>
      <c r="K31" s="8" t="n">
        <v>6</v>
      </c>
      <c r="L31" s="8">
        <f>K31+E31</f>
        <v/>
      </c>
      <c r="M31" s="8">
        <f>K31-J31</f>
        <v/>
      </c>
      <c r="N31" s="8">
        <f>"S"&amp;(INT(K31/Resumen!$C$5)+1)&amp;"–S"&amp;MAX(INT(K31/Resumen!$C$5)+1,ROUNDUP(L31/Resumen!$C$5,0))</f>
        <v/>
      </c>
      <c r="O31" s="8" t="inlineStr">
        <is>
          <t>Hecho</t>
        </is>
      </c>
      <c r="P31" s="8" t="inlineStr">
        <is>
          <t>Propuesta</t>
        </is>
      </c>
      <c r="Q31" s="7" t="inlineStr">
        <is>
          <t>ga-diseno-a-codigo</t>
        </is>
      </c>
      <c r="R31" s="7" t="inlineStr"/>
    </row>
    <row r="32">
      <c r="A32" s="19" t="inlineStr">
        <is>
          <t>3.5</t>
        </is>
      </c>
      <c r="B32" s="7" t="inlineStr">
        <is>
          <t>3. Flujo de solicitud de crédito</t>
        </is>
      </c>
      <c r="C32" s="7" t="inlineStr">
        <is>
          <t>/cuenta con datos reales (perfil, solicitud, tope, convenios)</t>
        </is>
      </c>
      <c r="D32" s="5" t="n">
        <v>3</v>
      </c>
      <c r="E32" s="8">
        <f>D32</f>
        <v/>
      </c>
      <c r="F32" s="4" t="inlineStr">
        <is>
          <t>2.7, 3.4</t>
        </is>
      </c>
      <c r="G32" s="7" t="inlineStr">
        <is>
          <t>Sí</t>
        </is>
      </c>
      <c r="H32" s="7" t="inlineStr">
        <is>
          <t>4.1</t>
        </is>
      </c>
      <c r="I32" s="18" t="inlineStr">
        <is>
          <t>A</t>
        </is>
      </c>
      <c r="J32" s="8" t="n">
        <v>16</v>
      </c>
      <c r="K32" s="8" t="n">
        <v>16</v>
      </c>
      <c r="L32" s="8">
        <f>K32+E32</f>
        <v/>
      </c>
      <c r="M32" s="8">
        <f>K32-J32</f>
        <v/>
      </c>
      <c r="N32" s="8">
        <f>"S"&amp;(INT(K32/Resumen!$C$5)+1)&amp;"–S"&amp;MAX(INT(K32/Resumen!$C$5)+1,ROUNDUP(L32/Resumen!$C$5,0))</f>
        <v/>
      </c>
      <c r="O32" s="8" t="inlineStr">
        <is>
          <t>Hecho</t>
        </is>
      </c>
      <c r="P32" s="8" t="inlineStr">
        <is>
          <t>Propuesta</t>
        </is>
      </c>
      <c r="Q32" s="7" t="inlineStr">
        <is>
          <t>ga-funcionalidad-botones</t>
        </is>
      </c>
      <c r="R32" s="7" t="inlineStr"/>
    </row>
    <row r="33">
      <c r="A33" s="19" t="inlineStr">
        <is>
          <t>3.6</t>
        </is>
      </c>
      <c r="B33" s="7" t="inlineStr">
        <is>
          <t>3. Flujo de solicitud de crédito</t>
        </is>
      </c>
      <c r="C33" s="7" t="inlineStr">
        <is>
          <t>Mis datos: guardar el celular (Server Action)</t>
        </is>
      </c>
      <c r="D33" s="5" t="n">
        <v>2</v>
      </c>
      <c r="E33" s="8">
        <f>D33</f>
        <v/>
      </c>
      <c r="F33" s="4" t="inlineStr">
        <is>
          <t>3.5</t>
        </is>
      </c>
      <c r="G33" s="7" t="inlineStr">
        <is>
          <t>Sí</t>
        </is>
      </c>
      <c r="H33" s="7" t="inlineStr">
        <is>
          <t>2.9</t>
        </is>
      </c>
      <c r="I33" s="18" t="inlineStr">
        <is>
          <t>B</t>
        </is>
      </c>
      <c r="J33" s="8" t="n">
        <v>19</v>
      </c>
      <c r="K33" s="8" t="n">
        <v>25</v>
      </c>
      <c r="L33" s="8">
        <f>K33+E33</f>
        <v/>
      </c>
      <c r="M33" s="8">
        <f>K33-J33</f>
        <v/>
      </c>
      <c r="N33" s="8">
        <f>"S"&amp;(INT(K33/Resumen!$C$5)+1)&amp;"–S"&amp;MAX(INT(K33/Resumen!$C$5)+1,ROUNDUP(L33/Resumen!$C$5,0))</f>
        <v/>
      </c>
      <c r="O33" s="8" t="inlineStr">
        <is>
          <t>Hecho</t>
        </is>
      </c>
      <c r="P33" s="8" t="inlineStr">
        <is>
          <t>Agregado</t>
        </is>
      </c>
      <c r="Q33" s="7" t="inlineStr">
        <is>
          <t>ga-funcionalidad-botones</t>
        </is>
      </c>
      <c r="R33" s="7" t="inlineStr"/>
    </row>
    <row r="34">
      <c r="A34" s="19" t="inlineStr">
        <is>
          <t>3.7</t>
        </is>
      </c>
      <c r="B34" s="7" t="inlineStr">
        <is>
          <t>3. Flujo de solicitud de crédito</t>
        </is>
      </c>
      <c r="C34" s="7" t="inlineStr">
        <is>
          <t>Conectar el formulario de crédito a /cuenta («Nueva solicitud»)</t>
        </is>
      </c>
      <c r="D34" s="5" t="n">
        <v>3</v>
      </c>
      <c r="E34" s="8">
        <f>D34</f>
        <v/>
      </c>
      <c r="F34" s="4" t="inlineStr">
        <is>
          <t>3.5, 3.3</t>
        </is>
      </c>
      <c r="G34" s="7" t="inlineStr">
        <is>
          <t>Sí</t>
        </is>
      </c>
      <c r="H34" s="7" t="inlineStr">
        <is>
          <t>5.2, 2.12</t>
        </is>
      </c>
      <c r="I34" s="18" t="inlineStr">
        <is>
          <t>B</t>
        </is>
      </c>
      <c r="J34" s="8" t="n">
        <v>33</v>
      </c>
      <c r="K34" s="8" t="n">
        <v>34</v>
      </c>
      <c r="L34" s="8">
        <f>K34+E34</f>
        <v/>
      </c>
      <c r="M34" s="8">
        <f>K34-J34</f>
        <v/>
      </c>
      <c r="N34" s="8">
        <f>"S"&amp;(INT(K34/Resumen!$C$5)+1)&amp;"–S"&amp;MAX(INT(K34/Resumen!$C$5)+1,ROUNDUP(L34/Resumen!$C$5,0))</f>
        <v/>
      </c>
      <c r="O34" s="8" t="inlineStr">
        <is>
          <t>Hecho</t>
        </is>
      </c>
      <c r="P34" s="8" t="inlineStr">
        <is>
          <t>Propuesta</t>
        </is>
      </c>
      <c r="Q34" s="7" t="inlineStr">
        <is>
          <t>ga-funcionalidad-botones</t>
        </is>
      </c>
      <c r="R34" s="7" t="inlineStr"/>
    </row>
    <row r="35">
      <c r="A35" s="19" t="inlineStr">
        <is>
          <t>3.9</t>
        </is>
      </c>
      <c r="B35" s="7" t="inlineStr">
        <is>
          <t>3. Flujo de solicitud de crédito</t>
        </is>
      </c>
      <c r="C35" s="7" t="inlineStr">
        <is>
          <t>Sorteo mensual en /cuenta (participar, confirmar boleta, correo por Resend, animación)</t>
        </is>
      </c>
      <c r="D35" s="5" t="n">
        <v>4</v>
      </c>
      <c r="E35" s="8">
        <f>D35</f>
        <v/>
      </c>
      <c r="F35" s="4" t="inlineStr">
        <is>
          <t>3.5, 1.5</t>
        </is>
      </c>
      <c r="G35" s="7" t="inlineStr">
        <is>
          <t>Sí</t>
        </is>
      </c>
      <c r="H35" s="7" t="inlineStr">
        <is>
          <t>1.6, 4.11</t>
        </is>
      </c>
      <c r="I35" s="18" t="inlineStr">
        <is>
          <t>A</t>
        </is>
      </c>
      <c r="J35" s="8" t="n">
        <v>25</v>
      </c>
      <c r="K35" s="8" t="n">
        <v>41</v>
      </c>
      <c r="L35" s="8">
        <f>K35+E35</f>
        <v/>
      </c>
      <c r="M35" s="8">
        <f>K35-J35</f>
        <v/>
      </c>
      <c r="N35" s="8">
        <f>"S"&amp;(INT(K35/Resumen!$C$5)+1)&amp;"–S"&amp;MAX(INT(K35/Resumen!$C$5)+1,ROUNDUP(L35/Resumen!$C$5,0))</f>
        <v/>
      </c>
      <c r="O35" s="8" t="inlineStr">
        <is>
          <t>Hecho</t>
        </is>
      </c>
      <c r="P35" s="8" t="inlineStr">
        <is>
          <t>Agregado</t>
        </is>
      </c>
      <c r="Q35" s="7" t="inlineStr">
        <is>
          <t>ga-funcionalidad-botones</t>
        </is>
      </c>
      <c r="R35" s="7" t="inlineStr"/>
    </row>
    <row r="36">
      <c r="A36" s="19" t="inlineStr">
        <is>
          <t>3.10</t>
        </is>
      </c>
      <c r="B36" s="7" t="inlineStr">
        <is>
          <t>3. Flujo de solicitud de crédito</t>
        </is>
      </c>
      <c r="C36" s="7" t="inlineStr">
        <is>
          <t>Rediseño C+ del asociado (nueva solicitud, Mis datos, boleta del sorteo)</t>
        </is>
      </c>
      <c r="D36" s="5" t="n">
        <v>3</v>
      </c>
      <c r="E36" s="8">
        <f>D36</f>
        <v/>
      </c>
      <c r="F36" s="4" t="inlineStr">
        <is>
          <t>3.4, 1.7</t>
        </is>
      </c>
      <c r="G36" s="7" t="inlineStr">
        <is>
          <t>Sí</t>
        </is>
      </c>
      <c r="H36" s="7" t="inlineStr">
        <is>
          <t>5.7, 6.16, 6.9</t>
        </is>
      </c>
      <c r="I36" s="18" t="inlineStr">
        <is>
          <t>B</t>
        </is>
      </c>
      <c r="J36" s="8" t="n">
        <v>39</v>
      </c>
      <c r="K36" s="8" t="n">
        <v>55</v>
      </c>
      <c r="L36" s="8">
        <f>K36+E36</f>
        <v/>
      </c>
      <c r="M36" s="8">
        <f>K36-J36</f>
        <v/>
      </c>
      <c r="N36" s="8">
        <f>"S"&amp;(INT(K36/Resumen!$C$5)+1)&amp;"–S"&amp;MAX(INT(K36/Resumen!$C$5)+1,ROUNDUP(L36/Resumen!$C$5,0))</f>
        <v/>
      </c>
      <c r="O36" s="8" t="inlineStr">
        <is>
          <t>Hecho</t>
        </is>
      </c>
      <c r="P36" s="8" t="inlineStr">
        <is>
          <t>Agregado</t>
        </is>
      </c>
      <c r="Q36" s="7" t="inlineStr">
        <is>
          <t>ga-disenador-lienzo + ga-diseno-a-codigo</t>
        </is>
      </c>
      <c r="R36" s="7" t="inlineStr"/>
    </row>
    <row r="37">
      <c r="A37" s="19" t="inlineStr">
        <is>
          <t>4.1</t>
        </is>
      </c>
      <c r="B37" s="7" t="inlineStr">
        <is>
          <t>4. Panel de administración</t>
        </is>
      </c>
      <c r="C37" s="7" t="inlineStr">
        <is>
          <t>Panel /admin: afiliaciones, créditos, asesores y sorteo</t>
        </is>
      </c>
      <c r="D37" s="5" t="n">
        <v>4</v>
      </c>
      <c r="E37" s="8">
        <f>D37</f>
        <v/>
      </c>
      <c r="F37" s="4" t="inlineStr">
        <is>
          <t>2.7, 3.1</t>
        </is>
      </c>
      <c r="G37" s="7" t="inlineStr">
        <is>
          <t>Sí</t>
        </is>
      </c>
      <c r="H37" s="7" t="inlineStr">
        <is>
          <t>3.5, 6.4</t>
        </is>
      </c>
      <c r="I37" s="18" t="inlineStr">
        <is>
          <t>B</t>
        </is>
      </c>
      <c r="J37" s="8" t="n">
        <v>16</v>
      </c>
      <c r="K37" s="8" t="n">
        <v>16</v>
      </c>
      <c r="L37" s="8">
        <f>K37+E37</f>
        <v/>
      </c>
      <c r="M37" s="8">
        <f>K37-J37</f>
        <v/>
      </c>
      <c r="N37" s="8">
        <f>"S"&amp;(INT(K37/Resumen!$C$5)+1)&amp;"–S"&amp;MAX(INT(K37/Resumen!$C$5)+1,ROUNDUP(L37/Resumen!$C$5,0))</f>
        <v/>
      </c>
      <c r="O37" s="8" t="inlineStr">
        <is>
          <t>Hecho</t>
        </is>
      </c>
      <c r="P37" s="8" t="inlineStr">
        <is>
          <t>Propuesta</t>
        </is>
      </c>
      <c r="Q37" s="7" t="inlineStr">
        <is>
          <t>ga-diseno-a-codigo + ga-funcionalidad-botones</t>
        </is>
      </c>
      <c r="R37" s="7" t="inlineStr"/>
    </row>
    <row r="38">
      <c r="A38" s="19" t="inlineStr">
        <is>
          <t>4.2</t>
        </is>
      </c>
      <c r="B38" s="7" t="inlineStr">
        <is>
          <t>4. Panel de administración</t>
        </is>
      </c>
      <c r="C38" s="7" t="inlineStr">
        <is>
          <t>Aprobar y rechazar (motivo obligatorio, nadie resuelve la suya)</t>
        </is>
      </c>
      <c r="D38" s="5" t="n">
        <v>3</v>
      </c>
      <c r="E38" s="8">
        <f>D38</f>
        <v/>
      </c>
      <c r="F38" s="4" t="inlineStr">
        <is>
          <t>4.1</t>
        </is>
      </c>
      <c r="G38" s="7" t="inlineStr">
        <is>
          <t>Sí</t>
        </is>
      </c>
      <c r="H38" s="7" t="inlineStr">
        <is>
          <t>1.5</t>
        </is>
      </c>
      <c r="I38" s="18" t="inlineStr">
        <is>
          <t>A</t>
        </is>
      </c>
      <c r="J38" s="8" t="n">
        <v>20</v>
      </c>
      <c r="K38" s="8" t="n">
        <v>20</v>
      </c>
      <c r="L38" s="8">
        <f>K38+E38</f>
        <v/>
      </c>
      <c r="M38" s="8">
        <f>K38-J38</f>
        <v/>
      </c>
      <c r="N38" s="8">
        <f>"S"&amp;(INT(K38/Resumen!$C$5)+1)&amp;"–S"&amp;MAX(INT(K38/Resumen!$C$5)+1,ROUNDUP(L38/Resumen!$C$5,0))</f>
        <v/>
      </c>
      <c r="O38" s="8" t="inlineStr">
        <is>
          <t>Hecho</t>
        </is>
      </c>
      <c r="P38" s="8" t="inlineStr">
        <is>
          <t>Propuesta</t>
        </is>
      </c>
      <c r="Q38" s="7" t="inlineStr">
        <is>
          <t>ga-funcionalidad-botones</t>
        </is>
      </c>
      <c r="R38" s="7" t="inlineStr"/>
    </row>
    <row r="39">
      <c r="A39" s="19" t="inlineStr">
        <is>
          <t>4.3</t>
        </is>
      </c>
      <c r="B39" s="7" t="inlineStr">
        <is>
          <t>4. Panel de administración</t>
        </is>
      </c>
      <c r="C39" s="7" t="inlineStr">
        <is>
          <t>Correo al asociado al resolver y estado actualizado en su pantalla</t>
        </is>
      </c>
      <c r="D39" s="5" t="n">
        <v>2</v>
      </c>
      <c r="E39" s="8">
        <f>D39</f>
        <v/>
      </c>
      <c r="F39" s="4" t="inlineStr">
        <is>
          <t>4.2, 2.4</t>
        </is>
      </c>
      <c r="G39" s="7" t="inlineStr">
        <is>
          <t>Sí</t>
        </is>
      </c>
      <c r="H39" s="7" t="inlineStr">
        <is>
          <t>5.6, 6.12</t>
        </is>
      </c>
      <c r="I39" s="18" t="inlineStr">
        <is>
          <t>A</t>
        </is>
      </c>
      <c r="J39" s="8" t="n">
        <v>64</v>
      </c>
      <c r="K39" s="8" t="n">
        <v>65</v>
      </c>
      <c r="L39" s="8">
        <f>K39+E39</f>
        <v/>
      </c>
      <c r="M39" s="8">
        <f>K39-J39</f>
        <v/>
      </c>
      <c r="N39" s="8">
        <f>"S"&amp;(INT(K39/Resumen!$C$5)+1)&amp;"–S"&amp;MAX(INT(K39/Resumen!$C$5)+1,ROUNDUP(L39/Resumen!$C$5,0))</f>
        <v/>
      </c>
      <c r="O39" s="8" t="inlineStr">
        <is>
          <t>En curso</t>
        </is>
      </c>
      <c r="P39" s="8" t="inlineStr">
        <is>
          <t>Propuesta</t>
        </is>
      </c>
      <c r="Q39" s="7" t="inlineStr">
        <is>
          <t>ga-funcionalidad-botones</t>
        </is>
      </c>
      <c r="R39" s="7" t="inlineStr"/>
    </row>
    <row r="40">
      <c r="A40" s="19" t="inlineStr">
        <is>
          <t>4.4</t>
        </is>
      </c>
      <c r="B40" s="7" t="inlineStr">
        <is>
          <t>4. Panel de administración</t>
        </is>
      </c>
      <c r="C40" s="7" t="inlineStr">
        <is>
          <t>Importar asociados desde Excel (con correos reales)</t>
        </is>
      </c>
      <c r="D40" s="5" t="n">
        <v>4</v>
      </c>
      <c r="E40" s="8">
        <f>D40</f>
        <v/>
      </c>
      <c r="F40" s="4" t="inlineStr">
        <is>
          <t>1.2</t>
        </is>
      </c>
      <c r="G40" s="7" t="inlineStr">
        <is>
          <t>Sí</t>
        </is>
      </c>
      <c r="H40" s="7" t="inlineStr">
        <is>
          <t>2.15, 6.19, 6.11, 5.7</t>
        </is>
      </c>
      <c r="I40" s="18" t="inlineStr">
        <is>
          <t>B</t>
        </is>
      </c>
      <c r="J40" s="8" t="n">
        <v>4</v>
      </c>
      <c r="K40" s="8" t="n">
        <v>51</v>
      </c>
      <c r="L40" s="8">
        <f>K40+E40</f>
        <v/>
      </c>
      <c r="M40" s="8">
        <f>K40-J40</f>
        <v/>
      </c>
      <c r="N40" s="8">
        <f>"S"&amp;(INT(K40/Resumen!$C$5)+1)&amp;"–S"&amp;MAX(INT(K40/Resumen!$C$5)+1,ROUNDUP(L40/Resumen!$C$5,0))</f>
        <v/>
      </c>
      <c r="O40" s="8" t="inlineStr">
        <is>
          <t>Hecho</t>
        </is>
      </c>
      <c r="P40" s="8" t="inlineStr">
        <is>
          <t>Agregado</t>
        </is>
      </c>
      <c r="Q40" s="7" t="inlineStr">
        <is>
          <t>ga-funcionalidad-botones</t>
        </is>
      </c>
      <c r="R40" s="7" t="inlineStr">
        <is>
          <t>Cancelada: decisión de la cooperativa 2026-09-24, no habrá importación de Excel de asociados.</t>
        </is>
      </c>
    </row>
    <row r="41">
      <c r="A41" s="19" t="inlineStr">
        <is>
          <t>4.5</t>
        </is>
      </c>
      <c r="B41" s="7" t="inlineStr">
        <is>
          <t>4. Panel de administración</t>
        </is>
      </c>
      <c r="C41" s="7" t="inlineStr">
        <is>
          <t>Aprobar afiliaciones en /admin: crear el usuario y enviar el correo «Ingreso aceptado» (Resend, ga-ingreso-aceptado)</t>
        </is>
      </c>
      <c r="D41" s="5" t="n">
        <v>3</v>
      </c>
      <c r="E41" s="8">
        <f>D41</f>
        <v/>
      </c>
      <c r="F41" s="4" t="inlineStr">
        <is>
          <t>4.1, 2.9</t>
        </is>
      </c>
      <c r="G41" s="7" t="inlineStr">
        <is>
          <t>Sí</t>
        </is>
      </c>
      <c r="H41" s="7" t="inlineStr">
        <is>
          <t>2.10, 2.1</t>
        </is>
      </c>
      <c r="I41" s="18" t="inlineStr">
        <is>
          <t>A</t>
        </is>
      </c>
      <c r="J41" s="8" t="n">
        <v>27</v>
      </c>
      <c r="K41" s="8" t="n">
        <v>27</v>
      </c>
      <c r="L41" s="8">
        <f>K41+E41</f>
        <v/>
      </c>
      <c r="M41" s="8">
        <f>K41-J41</f>
        <v/>
      </c>
      <c r="N41" s="8">
        <f>"S"&amp;(INT(K41/Resumen!$C$5)+1)&amp;"–S"&amp;MAX(INT(K41/Resumen!$C$5)+1,ROUNDUP(L41/Resumen!$C$5,0))</f>
        <v/>
      </c>
      <c r="O41" s="8" t="inlineStr">
        <is>
          <t>Hecho</t>
        </is>
      </c>
      <c r="P41" s="8" t="inlineStr">
        <is>
          <t>Agregado</t>
        </is>
      </c>
      <c r="Q41" s="7" t="inlineStr">
        <is>
          <t>ga-funcionalidad-botones</t>
        </is>
      </c>
      <c r="R41" s="7" t="inlineStr"/>
    </row>
    <row r="42">
      <c r="A42" s="19" t="inlineStr">
        <is>
          <t>4.6</t>
        </is>
      </c>
      <c r="B42" s="7" t="inlineStr">
        <is>
          <t>4. Panel de administración</t>
        </is>
      </c>
      <c r="C42" s="7" t="inlineStr">
        <is>
          <t>Rol asesor: pantalla /asesor (mis clientes) y /asesor/demo (cuenta de demostración)</t>
        </is>
      </c>
      <c r="D42" s="5" t="n">
        <v>3</v>
      </c>
      <c r="E42" s="8">
        <f>D42</f>
        <v/>
      </c>
      <c r="F42" s="4" t="inlineStr">
        <is>
          <t>1.5</t>
        </is>
      </c>
      <c r="G42" s="7" t="inlineStr">
        <is>
          <t>Sí</t>
        </is>
      </c>
      <c r="H42" s="7" t="inlineStr">
        <is>
          <t>3.3, 5.2</t>
        </is>
      </c>
      <c r="I42" s="18" t="inlineStr">
        <is>
          <t>B</t>
        </is>
      </c>
      <c r="J42" s="8" t="n">
        <v>25</v>
      </c>
      <c r="K42" s="8" t="n">
        <v>31</v>
      </c>
      <c r="L42" s="8">
        <f>K42+E42</f>
        <v/>
      </c>
      <c r="M42" s="8">
        <f>K42-J42</f>
        <v/>
      </c>
      <c r="N42" s="8">
        <f>"S"&amp;(INT(K42/Resumen!$C$5)+1)&amp;"–S"&amp;MAX(INT(K42/Resumen!$C$5)+1,ROUNDUP(L42/Resumen!$C$5,0))</f>
        <v/>
      </c>
      <c r="O42" s="8" t="inlineStr">
        <is>
          <t>Hecho</t>
        </is>
      </c>
      <c r="P42" s="8" t="inlineStr">
        <is>
          <t>Agregado</t>
        </is>
      </c>
      <c r="Q42" s="7" t="inlineStr">
        <is>
          <t>ga-funcionalidad-botones</t>
        </is>
      </c>
      <c r="R42" s="7" t="inlineStr"/>
    </row>
    <row r="43">
      <c r="A43" s="19" t="inlineStr">
        <is>
          <t>4.7</t>
        </is>
      </c>
      <c r="B43" s="7" t="inlineStr">
        <is>
          <t>4. Panel de administración</t>
        </is>
      </c>
      <c r="C43" s="7" t="inlineStr">
        <is>
          <t>Dashboard de clientes en /admin: métricas (asociados por grado/institución, afiliaciones y créditos pendientes, montos del mes, inscritos al sorteo), lista con buscador/filtros, detalle de cliente y reasignar asesor</t>
        </is>
      </c>
      <c r="D43" s="5" t="n">
        <v>4</v>
      </c>
      <c r="E43" s="8">
        <f>D43</f>
        <v/>
      </c>
      <c r="F43" s="4" t="inlineStr">
        <is>
          <t>4.1, 4.6</t>
        </is>
      </c>
      <c r="G43" s="7" t="inlineStr">
        <is>
          <t>Sí</t>
        </is>
      </c>
      <c r="H43" s="7" t="inlineStr">
        <is>
          <t>5.9, 6.15, 6.7</t>
        </is>
      </c>
      <c r="I43" s="18" t="inlineStr">
        <is>
          <t>B</t>
        </is>
      </c>
      <c r="J43" s="8" t="n">
        <v>64</v>
      </c>
      <c r="K43" s="8" t="n">
        <v>81</v>
      </c>
      <c r="L43" s="8">
        <f>K43+E43</f>
        <v/>
      </c>
      <c r="M43" s="8">
        <f>K43-J43</f>
        <v/>
      </c>
      <c r="N43" s="8">
        <f>"S"&amp;(INT(K43/Resumen!$C$5)+1)&amp;"–S"&amp;MAX(INT(K43/Resumen!$C$5)+1,ROUNDUP(L43/Resumen!$C$5,0))</f>
        <v/>
      </c>
      <c r="O43" s="8" t="inlineStr">
        <is>
          <t>Pendiente</t>
        </is>
      </c>
      <c r="P43" s="8" t="inlineStr">
        <is>
          <t>Agregado</t>
        </is>
      </c>
      <c r="Q43" s="7" t="inlineStr">
        <is>
          <t>Carlos Pardo</t>
        </is>
      </c>
      <c r="R43" s="7" t="inlineStr"/>
    </row>
    <row r="44">
      <c r="A44" s="19" t="inlineStr">
        <is>
          <t>4.8</t>
        </is>
      </c>
      <c r="B44" s="7" t="inlineStr">
        <is>
          <t>4. Panel de administración</t>
        </is>
      </c>
      <c r="C44" s="7" t="inlineStr">
        <is>
          <t>Dashboard del asesor en /asesor: métricas de sus clientes (por estado, créditos pendientes, afiliaciones referidas en el mes) y detalle de cliente sin celular, correo, Nequi ni fotos</t>
        </is>
      </c>
      <c r="D44" s="5" t="n">
        <v>3</v>
      </c>
      <c r="E44" s="8">
        <f>D44</f>
        <v/>
      </c>
      <c r="F44" s="4" t="inlineStr">
        <is>
          <t>4.6</t>
        </is>
      </c>
      <c r="G44" s="7" t="inlineStr">
        <is>
          <t>Sí</t>
        </is>
      </c>
      <c r="H44" s="7" t="inlineStr">
        <is>
          <t>6.6, 5.9</t>
        </is>
      </c>
      <c r="I44" s="18" t="inlineStr">
        <is>
          <t>B</t>
        </is>
      </c>
      <c r="J44" s="8" t="n">
        <v>64</v>
      </c>
      <c r="K44" s="8" t="n">
        <v>78</v>
      </c>
      <c r="L44" s="8">
        <f>K44+E44</f>
        <v/>
      </c>
      <c r="M44" s="8">
        <f>K44-J44</f>
        <v/>
      </c>
      <c r="N44" s="8">
        <f>"S"&amp;(INT(K44/Resumen!$C$5)+1)&amp;"–S"&amp;MAX(INT(K44/Resumen!$C$5)+1,ROUNDUP(L44/Resumen!$C$5,0))</f>
        <v/>
      </c>
      <c r="O44" s="8" t="inlineStr">
        <is>
          <t>Pendiente</t>
        </is>
      </c>
      <c r="P44" s="8" t="inlineStr">
        <is>
          <t>Agregado</t>
        </is>
      </c>
      <c r="Q44" s="7" t="inlineStr">
        <is>
          <t>Carlos Pardo</t>
        </is>
      </c>
      <c r="R44" s="7" t="inlineStr"/>
    </row>
    <row r="45">
      <c r="A45" s="19" t="inlineStr">
        <is>
          <t>4.9</t>
        </is>
      </c>
      <c r="B45" s="7" t="inlineStr">
        <is>
          <t>4. Panel de administración</t>
        </is>
      </c>
      <c r="C45" s="7" t="inlineStr">
        <is>
          <t>Cuenta de demostración para administradores en /admin/demo (pestaña «Demostración»): reutiliza la cuenta fantasma de /asesor/demo, un asesor no puede entrar</t>
        </is>
      </c>
      <c r="D45" s="5" t="n">
        <v>2</v>
      </c>
      <c r="E45" s="8">
        <f>D45</f>
        <v/>
      </c>
      <c r="F45" s="4" t="inlineStr">
        <is>
          <t>4.1, 4.6</t>
        </is>
      </c>
      <c r="G45" s="7" t="inlineStr">
        <is>
          <t>Sí</t>
        </is>
      </c>
      <c r="H45" s="7" t="inlineStr">
        <is>
          <t>3.2</t>
        </is>
      </c>
      <c r="I45" s="18" t="inlineStr">
        <is>
          <t>A</t>
        </is>
      </c>
      <c r="J45" s="8" t="n">
        <v>34</v>
      </c>
      <c r="K45" s="8" t="n">
        <v>62</v>
      </c>
      <c r="L45" s="8">
        <f>K45+E45</f>
        <v/>
      </c>
      <c r="M45" s="8">
        <f>K45-J45</f>
        <v/>
      </c>
      <c r="N45" s="8">
        <f>"S"&amp;(INT(K45/Resumen!$C$5)+1)&amp;"–S"&amp;MAX(INT(K45/Resumen!$C$5)+1,ROUNDUP(L45/Resumen!$C$5,0))</f>
        <v/>
      </c>
      <c r="O45" s="8" t="inlineStr">
        <is>
          <t>Hecho</t>
        </is>
      </c>
      <c r="P45" s="8" t="inlineStr">
        <is>
          <t>Agregado</t>
        </is>
      </c>
      <c r="Q45" s="7" t="inlineStr">
        <is>
          <t>sesión principal</t>
        </is>
      </c>
      <c r="R45" s="7" t="inlineStr"/>
    </row>
    <row r="46">
      <c r="A46" s="19" t="inlineStr">
        <is>
          <t>4.10</t>
        </is>
      </c>
      <c r="B46" s="7" t="inlineStr">
        <is>
          <t>4. Panel de administración</t>
        </is>
      </c>
      <c r="C46" s="7" t="inlineStr">
        <is>
          <t>Rediseño C+ del asesor (/asesor y /asesor/demo)</t>
        </is>
      </c>
      <c r="D46" s="5" t="n">
        <v>2</v>
      </c>
      <c r="E46" s="8">
        <f>D46</f>
        <v/>
      </c>
      <c r="F46" s="4" t="inlineStr">
        <is>
          <t>4.6, 1.7</t>
        </is>
      </c>
      <c r="G46" s="7" t="inlineStr">
        <is>
          <t>Sí</t>
        </is>
      </c>
      <c r="H46" s="7" t="inlineStr">
        <is>
          <t>2.14</t>
        </is>
      </c>
      <c r="I46" s="18" t="inlineStr">
        <is>
          <t>A</t>
        </is>
      </c>
      <c r="J46" s="8" t="n">
        <v>39</v>
      </c>
      <c r="K46" s="8" t="n">
        <v>47</v>
      </c>
      <c r="L46" s="8">
        <f>K46+E46</f>
        <v/>
      </c>
      <c r="M46" s="8">
        <f>K46-J46</f>
        <v/>
      </c>
      <c r="N46" s="8">
        <f>"S"&amp;(INT(K46/Resumen!$C$5)+1)&amp;"–S"&amp;MAX(INT(K46/Resumen!$C$5)+1,ROUNDUP(L46/Resumen!$C$5,0))</f>
        <v/>
      </c>
      <c r="O46" s="8" t="inlineStr">
        <is>
          <t>Hecho</t>
        </is>
      </c>
      <c r="P46" s="8" t="inlineStr">
        <is>
          <t>Agregado</t>
        </is>
      </c>
      <c r="Q46" s="7" t="inlineStr">
        <is>
          <t>ga-disenador-lienzo + ga-diseno-a-codigo</t>
        </is>
      </c>
      <c r="R46" s="7" t="inlineStr"/>
    </row>
    <row r="47">
      <c r="A47" s="19" t="inlineStr">
        <is>
          <t>4.11</t>
        </is>
      </c>
      <c r="B47" s="7" t="inlineStr">
        <is>
          <t>4. Panel de administración</t>
        </is>
      </c>
      <c r="C47" s="7" t="inlineStr">
        <is>
          <t>Rediseño C+ del admin (incluye la vista en celular)</t>
        </is>
      </c>
      <c r="D47" s="5" t="n">
        <v>3</v>
      </c>
      <c r="E47" s="8">
        <f>D47</f>
        <v/>
      </c>
      <c r="F47" s="4" t="inlineStr">
        <is>
          <t>4.1, 1.7</t>
        </is>
      </c>
      <c r="G47" s="7" t="inlineStr">
        <is>
          <t>Sí</t>
        </is>
      </c>
      <c r="H47" s="7" t="inlineStr">
        <is>
          <t>3.9</t>
        </is>
      </c>
      <c r="I47" s="18" t="inlineStr">
        <is>
          <t>B</t>
        </is>
      </c>
      <c r="J47" s="8" t="n">
        <v>39</v>
      </c>
      <c r="K47" s="8" t="n">
        <v>42</v>
      </c>
      <c r="L47" s="8">
        <f>K47+E47</f>
        <v/>
      </c>
      <c r="M47" s="8">
        <f>K47-J47</f>
        <v/>
      </c>
      <c r="N47" s="8">
        <f>"S"&amp;(INT(K47/Resumen!$C$5)+1)&amp;"–S"&amp;MAX(INT(K47/Resumen!$C$5)+1,ROUNDUP(L47/Resumen!$C$5,0))</f>
        <v/>
      </c>
      <c r="O47" s="8" t="inlineStr">
        <is>
          <t>Hecho</t>
        </is>
      </c>
      <c r="P47" s="8" t="inlineStr">
        <is>
          <t>Agregado</t>
        </is>
      </c>
      <c r="Q47" s="7" t="inlineStr">
        <is>
          <t>ga-disenador-lienzo + ga-diseno-a-codigo</t>
        </is>
      </c>
      <c r="R47" s="7" t="inlineStr"/>
    </row>
    <row r="48">
      <c r="A48" s="19" t="inlineStr">
        <is>
          <t>5.1</t>
        </is>
      </c>
      <c r="B48" s="4" t="inlineStr">
        <is>
          <t>5. Convenios y pulido</t>
        </is>
      </c>
      <c r="C48" s="7" t="inlineStr">
        <is>
          <t>Sección de convenios (en /cuenta y landing)</t>
        </is>
      </c>
      <c r="D48" s="5" t="n">
        <v>2</v>
      </c>
      <c r="E48" s="8">
        <f>D48</f>
        <v/>
      </c>
      <c r="F48" s="4" t="inlineStr">
        <is>
          <t>3.4</t>
        </is>
      </c>
      <c r="G48" s="7" t="inlineStr">
        <is>
          <t>Sí</t>
        </is>
      </c>
      <c r="H48" s="7" t="inlineStr">
        <is>
          <t>2.15</t>
        </is>
      </c>
      <c r="I48" s="18" t="inlineStr">
        <is>
          <t>B</t>
        </is>
      </c>
      <c r="J48" s="8" t="n">
        <v>9</v>
      </c>
      <c r="K48" s="8" t="n">
        <v>49</v>
      </c>
      <c r="L48" s="8">
        <f>K48+E48</f>
        <v/>
      </c>
      <c r="M48" s="8">
        <f>K48-J48</f>
        <v/>
      </c>
      <c r="N48" s="8">
        <f>"S"&amp;(INT(K48/Resumen!$C$5)+1)&amp;"–S"&amp;MAX(INT(K48/Resumen!$C$5)+1,ROUNDUP(L48/Resumen!$C$5,0))</f>
        <v/>
      </c>
      <c r="O48" s="8" t="inlineStr">
        <is>
          <t>Hecho</t>
        </is>
      </c>
      <c r="P48" s="8" t="inlineStr">
        <is>
          <t>Propuesta</t>
        </is>
      </c>
      <c r="Q48" s="7" t="inlineStr">
        <is>
          <t>ga-diseno-a-codigo</t>
        </is>
      </c>
      <c r="R48" s="7" t="inlineStr"/>
    </row>
    <row r="49">
      <c r="A49" s="19" t="inlineStr">
        <is>
          <t>5.2</t>
        </is>
      </c>
      <c r="B49" s="4" t="inlineStr">
        <is>
          <t>5. Convenios y pulido</t>
        </is>
      </c>
      <c r="C49" s="7" t="inlineStr">
        <is>
          <t>Diseño responsive celular / tableta / PC</t>
        </is>
      </c>
      <c r="D49" s="5" t="n">
        <v>3</v>
      </c>
      <c r="E49" s="8">
        <f>D49</f>
        <v/>
      </c>
      <c r="F49" s="4" t="inlineStr">
        <is>
          <t>2.1, 2.2, 2.3, 3.4</t>
        </is>
      </c>
      <c r="G49" s="7" t="inlineStr">
        <is>
          <t>Sí</t>
        </is>
      </c>
      <c r="H49" s="7" t="inlineStr">
        <is>
          <t>4.6, 3.7</t>
        </is>
      </c>
      <c r="I49" s="18" t="inlineStr">
        <is>
          <t>A</t>
        </is>
      </c>
      <c r="J49" s="8" t="n">
        <v>31</v>
      </c>
      <c r="K49" s="8" t="n">
        <v>33</v>
      </c>
      <c r="L49" s="8">
        <f>K49+E49</f>
        <v/>
      </c>
      <c r="M49" s="8">
        <f>K49-J49</f>
        <v/>
      </c>
      <c r="N49" s="8">
        <f>"S"&amp;(INT(K49/Resumen!$C$5)+1)&amp;"–S"&amp;MAX(INT(K49/Resumen!$C$5)+1,ROUNDUP(L49/Resumen!$C$5,0))</f>
        <v/>
      </c>
      <c r="O49" s="8" t="inlineStr">
        <is>
          <t>Hecho</t>
        </is>
      </c>
      <c r="P49" s="8" t="inlineStr">
        <is>
          <t>Propuesta</t>
        </is>
      </c>
      <c r="Q49" s="7" t="inlineStr">
        <is>
          <t>ga-verificador-responsive</t>
        </is>
      </c>
      <c r="R49" s="7" t="inlineStr"/>
    </row>
    <row r="50">
      <c r="A50" s="19" t="inlineStr">
        <is>
          <t>5.3</t>
        </is>
      </c>
      <c r="B50" s="4" t="inlineStr">
        <is>
          <t>5. Convenios y pulido</t>
        </is>
      </c>
      <c r="C50" s="7" t="inlineStr">
        <is>
          <t>Cambiar datos de ejemplo por reales (config.ts, mock.ts, fotos, cifras)</t>
        </is>
      </c>
      <c r="D50" s="5" t="n">
        <v>2</v>
      </c>
      <c r="E50" s="8">
        <f>D50</f>
        <v/>
      </c>
      <c r="F50" s="4" t="inlineStr">
        <is>
          <t>5.2</t>
        </is>
      </c>
      <c r="G50" s="7" t="inlineStr">
        <is>
          <t>Sí</t>
        </is>
      </c>
      <c r="H50" s="7" t="inlineStr">
        <is>
          <t>6.1, 6.18</t>
        </is>
      </c>
      <c r="I50" s="18" t="inlineStr">
        <is>
          <t>B</t>
        </is>
      </c>
      <c r="J50" s="8" t="n">
        <v>64</v>
      </c>
      <c r="K50" s="8" t="n">
        <v>69</v>
      </c>
      <c r="L50" s="8">
        <f>K50+E50</f>
        <v/>
      </c>
      <c r="M50" s="8">
        <f>K50-J50</f>
        <v/>
      </c>
      <c r="N50" s="8">
        <f>"S"&amp;(INT(K50/Resumen!$C$5)+1)&amp;"–S"&amp;MAX(INT(K50/Resumen!$C$5)+1,ROUNDUP(L50/Resumen!$C$5,0))</f>
        <v/>
      </c>
      <c r="O50" s="8" t="inlineStr">
        <is>
          <t>Bloqueado</t>
        </is>
      </c>
      <c r="P50" s="8" t="inlineStr">
        <is>
          <t>Propuesta</t>
        </is>
      </c>
      <c r="Q50" s="7" t="inlineStr">
        <is>
          <t>ga-diseno-a-codigo</t>
        </is>
      </c>
      <c r="R50" s="7" t="inlineStr">
        <is>
          <t>24-sep: WhatsApp, correo de contacto y tiempo de respuesta ya llegaron (ver P-10, P-12, P-17). 25-sep: texto de vigilancia Supersolidaria confirmado (ver P-13). Faltan fotos/cifras/testimonios, nombres de los grados y estado de desembolso (cooperativa)</t>
        </is>
      </c>
    </row>
    <row r="51">
      <c r="A51" s="19" t="inlineStr">
        <is>
          <t>5.4</t>
        </is>
      </c>
      <c r="B51" s="4" t="inlineStr">
        <is>
          <t>5. Convenios y pulido</t>
        </is>
      </c>
      <c r="C51" s="7" t="inlineStr">
        <is>
          <t>Página de política de datos (/politica-de-datos)</t>
        </is>
      </c>
      <c r="D51" s="5" t="n">
        <v>1</v>
      </c>
      <c r="E51" s="8">
        <f>D51</f>
        <v/>
      </c>
      <c r="F51" s="4" t="inlineStr">
        <is>
          <t>5.2</t>
        </is>
      </c>
      <c r="G51" s="7" t="inlineStr">
        <is>
          <t>Sí</t>
        </is>
      </c>
      <c r="H51" s="7" t="inlineStr">
        <is>
          <t>2.11</t>
        </is>
      </c>
      <c r="I51" s="18" t="inlineStr">
        <is>
          <t>A</t>
        </is>
      </c>
      <c r="J51" s="8" t="n">
        <v>64</v>
      </c>
      <c r="K51" s="8" t="n">
        <v>64</v>
      </c>
      <c r="L51" s="8">
        <f>K51+E51</f>
        <v/>
      </c>
      <c r="M51" s="8">
        <f>K51-J51</f>
        <v/>
      </c>
      <c r="N51" s="8">
        <f>"S"&amp;(INT(K51/Resumen!$C$5)+1)&amp;"–S"&amp;MAX(INT(K51/Resumen!$C$5)+1,ROUNDUP(L51/Resumen!$C$5,0))</f>
        <v/>
      </c>
      <c r="O51" s="8" t="inlineStr">
        <is>
          <t>En curso</t>
        </is>
      </c>
      <c r="P51" s="8" t="inlineStr">
        <is>
          <t>Agregado</t>
        </is>
      </c>
      <c r="Q51" s="7" t="inlineStr">
        <is>
          <t>ga-diseno-a-codigo</t>
        </is>
      </c>
      <c r="R51" s="7" t="inlineStr">
        <is>
          <t>24-sep: borrador completo (10 secciones, Ley 1581 y Decreto 1377, con la autorización de datos sensibles para fotos y selfie) ya en la página. Falta que la cooperativa dé NIT/dirección/ciudad (P-75), fecha de vigencia (P-76), país o región de los servidores (P-77), alternativa sin selfie (P-78), plazos de conservación (P-79) y si reportan a centrales de riesgo Ley 1266 (P-80); y que un abogado la revise (P-81). Bloquea el despliegue (6.5).</t>
        </is>
      </c>
    </row>
    <row r="52">
      <c r="A52" s="19" t="inlineStr">
        <is>
          <t>5.5</t>
        </is>
      </c>
      <c r="B52" s="4" t="inlineStr">
        <is>
          <t>5. Convenios y pulido</t>
        </is>
      </c>
      <c r="C52" s="7" t="inlineStr">
        <is>
          <t>Borrar las rutas viejas /login y /dashboard</t>
        </is>
      </c>
      <c r="D52" s="5" t="n">
        <v>1</v>
      </c>
      <c r="E52" s="8">
        <f>D52</f>
        <v/>
      </c>
      <c r="F52" s="4" t="inlineStr">
        <is>
          <t>3.7, 2.7</t>
        </is>
      </c>
      <c r="G52" s="7" t="inlineStr">
        <is>
          <t>Sí</t>
        </is>
      </c>
      <c r="H52" s="7" t="inlineStr">
        <is>
          <t>1.6</t>
        </is>
      </c>
      <c r="I52" s="18" t="inlineStr">
        <is>
          <t>A</t>
        </is>
      </c>
      <c r="J52" s="8" t="n">
        <v>37</v>
      </c>
      <c r="K52" s="8" t="n">
        <v>40</v>
      </c>
      <c r="L52" s="8">
        <f>K52+E52</f>
        <v/>
      </c>
      <c r="M52" s="8">
        <f>K52-J52</f>
        <v/>
      </c>
      <c r="N52" s="8">
        <f>"S"&amp;(INT(K52/Resumen!$C$5)+1)&amp;"–S"&amp;MAX(INT(K52/Resumen!$C$5)+1,ROUNDUP(L52/Resumen!$C$5,0))</f>
        <v/>
      </c>
      <c r="O52" s="8" t="inlineStr">
        <is>
          <t>Hecho</t>
        </is>
      </c>
      <c r="P52" s="8" t="inlineStr">
        <is>
          <t>Agregado</t>
        </is>
      </c>
      <c r="Q52" s="7" t="inlineStr">
        <is>
          <t>ga-funcionalidad-botones</t>
        </is>
      </c>
      <c r="R52" s="7" t="inlineStr"/>
    </row>
    <row r="53">
      <c r="A53" s="19" t="inlineStr">
        <is>
          <t>5.6</t>
        </is>
      </c>
      <c r="B53" s="4" t="inlineStr">
        <is>
          <t>5. Convenios y pulido</t>
        </is>
      </c>
      <c r="C53" s="7" t="inlineStr">
        <is>
          <t>Revisar el diseño de /cuenta/solicitar (pantalla sin maqueta; selector 50/100 ahora son radios)</t>
        </is>
      </c>
      <c r="D53" s="5" t="n">
        <v>1</v>
      </c>
      <c r="E53" s="8">
        <f>D53</f>
        <v/>
      </c>
      <c r="F53" s="4" t="inlineStr">
        <is>
          <t>3.7</t>
        </is>
      </c>
      <c r="G53" s="7" t="inlineStr">
        <is>
          <t>Sí</t>
        </is>
      </c>
      <c r="H53" s="7" t="inlineStr">
        <is>
          <t>4.3</t>
        </is>
      </c>
      <c r="I53" s="18" t="inlineStr">
        <is>
          <t>B</t>
        </is>
      </c>
      <c r="J53" s="8" t="n">
        <v>64</v>
      </c>
      <c r="K53" s="8" t="n">
        <v>65</v>
      </c>
      <c r="L53" s="8">
        <f>K53+E53</f>
        <v/>
      </c>
      <c r="M53" s="8">
        <f>K53-J53</f>
        <v/>
      </c>
      <c r="N53" s="8">
        <f>"S"&amp;(INT(K53/Resumen!$C$5)+1)&amp;"–S"&amp;MAX(INT(K53/Resumen!$C$5)+1,ROUNDUP(L53/Resumen!$C$5,0))</f>
        <v/>
      </c>
      <c r="O53" s="8" t="inlineStr">
        <is>
          <t>Pendiente</t>
        </is>
      </c>
      <c r="P53" s="8" t="inlineStr">
        <is>
          <t>Agregado</t>
        </is>
      </c>
      <c r="Q53" s="7" t="inlineStr">
        <is>
          <t>ga-diseno-a-codigo</t>
        </is>
      </c>
      <c r="R53" s="7" t="inlineStr"/>
    </row>
    <row r="54">
      <c r="A54" s="19" t="inlineStr">
        <is>
          <t>5.7</t>
        </is>
      </c>
      <c r="B54" s="4" t="inlineStr">
        <is>
          <t>5. Convenios y pulido</t>
        </is>
      </c>
      <c r="C54" s="7" t="inlineStr">
        <is>
          <t>Logo horizontal con las letras oficiales (SVG) y espacios de foto de marca en la landing (EspacioFoto)</t>
        </is>
      </c>
      <c r="D54" s="5" t="n">
        <v>2</v>
      </c>
      <c r="E54" s="8">
        <f>D54</f>
        <v/>
      </c>
      <c r="F54" s="4" t="inlineStr">
        <is>
          <t>2.1</t>
        </is>
      </c>
      <c r="G54" s="7" t="inlineStr">
        <is>
          <t>Sí</t>
        </is>
      </c>
      <c r="H54" s="7" t="inlineStr">
        <is>
          <t>4.4, 3.10</t>
        </is>
      </c>
      <c r="I54" s="18" t="inlineStr">
        <is>
          <t>A</t>
        </is>
      </c>
      <c r="J54" s="8" t="n">
        <v>31</v>
      </c>
      <c r="K54" s="8" t="n">
        <v>54</v>
      </c>
      <c r="L54" s="8">
        <f>K54+E54</f>
        <v/>
      </c>
      <c r="M54" s="8">
        <f>K54-J54</f>
        <v/>
      </c>
      <c r="N54" s="8">
        <f>"S"&amp;(INT(K54/Resumen!$C$5)+1)&amp;"–S"&amp;MAX(INT(K54/Resumen!$C$5)+1,ROUNDUP(L54/Resumen!$C$5,0))</f>
        <v/>
      </c>
      <c r="O54" s="8" t="inlineStr">
        <is>
          <t>Hecho</t>
        </is>
      </c>
      <c r="P54" s="8" t="inlineStr">
        <is>
          <t>Agregado</t>
        </is>
      </c>
      <c r="Q54" s="7" t="inlineStr">
        <is>
          <t>ga-diseno-a-codigo</t>
        </is>
      </c>
      <c r="R54" s="7" t="inlineStr"/>
    </row>
    <row r="55">
      <c r="A55" s="19" t="inlineStr">
        <is>
          <t>5.8</t>
        </is>
      </c>
      <c r="B55" s="4" t="inlineStr">
        <is>
          <t>5. Convenios y pulido</t>
        </is>
      </c>
      <c r="C55" s="7" t="inlineStr">
        <is>
          <t>Corregir scroll horizontal: headers con logo (320 px) y formulario de /ingresar y /ingresar/codigo (1024–1075 px)</t>
        </is>
      </c>
      <c r="D55" s="5" t="n">
        <v>1</v>
      </c>
      <c r="E55" s="8">
        <f>D55</f>
        <v/>
      </c>
      <c r="F55" s="4" t="inlineStr">
        <is>
          <t>5.2, 5.7</t>
        </is>
      </c>
      <c r="G55" s="7" t="inlineStr">
        <is>
          <t>Sí</t>
        </is>
      </c>
      <c r="H55" s="7" t="inlineStr">
        <is>
          <t>6.8</t>
        </is>
      </c>
      <c r="I55" s="18" t="inlineStr">
        <is>
          <t>B</t>
        </is>
      </c>
      <c r="J55" s="8" t="n">
        <v>56</v>
      </c>
      <c r="K55" s="8" t="n">
        <v>58</v>
      </c>
      <c r="L55" s="8">
        <f>K55+E55</f>
        <v/>
      </c>
      <c r="M55" s="8">
        <f>K55-J55</f>
        <v/>
      </c>
      <c r="N55" s="8">
        <f>"S"&amp;(INT(K55/Resumen!$C$5)+1)&amp;"–S"&amp;MAX(INT(K55/Resumen!$C$5)+1,ROUNDUP(L55/Resumen!$C$5,0))</f>
        <v/>
      </c>
      <c r="O55" s="8" t="inlineStr">
        <is>
          <t>Hecho</t>
        </is>
      </c>
      <c r="P55" s="8" t="inlineStr">
        <is>
          <t>Agregado</t>
        </is>
      </c>
      <c r="Q55" s="7" t="inlineStr">
        <is>
          <t>ga-diseno-a-codigo + ga-verificador-responsive</t>
        </is>
      </c>
      <c r="R55" s="7" t="inlineStr"/>
    </row>
    <row r="56">
      <c r="A56" s="19" t="inlineStr">
        <is>
          <t>5.9</t>
        </is>
      </c>
      <c r="B56" s="4" t="inlineStr">
        <is>
          <t>5. Convenios y pulido</t>
        </is>
      </c>
      <c r="C56" s="7" t="inlineStr">
        <is>
          <t>Convenios administrables desde /admin (crear, editar, ocultar y ordenar, logo en Storage); landing y /cuenta leen de la tabla convenios</t>
        </is>
      </c>
      <c r="D56" s="5" t="n">
        <v>3</v>
      </c>
      <c r="E56" s="8">
        <f>D56</f>
        <v/>
      </c>
      <c r="F56" s="4" t="inlineStr">
        <is>
          <t>4.1, 5.1</t>
        </is>
      </c>
      <c r="G56" s="7" t="inlineStr">
        <is>
          <t>Sí</t>
        </is>
      </c>
      <c r="H56" s="7" t="inlineStr">
        <is>
          <t>4.8, 4.7</t>
        </is>
      </c>
      <c r="I56" s="18" t="inlineStr">
        <is>
          <t>A</t>
        </is>
      </c>
      <c r="J56" s="8" t="n">
        <v>64</v>
      </c>
      <c r="K56" s="8" t="n">
        <v>79</v>
      </c>
      <c r="L56" s="8">
        <f>K56+E56</f>
        <v/>
      </c>
      <c r="M56" s="8">
        <f>K56-J56</f>
        <v/>
      </c>
      <c r="N56" s="8">
        <f>"S"&amp;(INT(K56/Resumen!$C$5)+1)&amp;"–S"&amp;MAX(INT(K56/Resumen!$C$5)+1,ROUNDUP(L56/Resumen!$C$5,0))</f>
        <v/>
      </c>
      <c r="O56" s="8" t="inlineStr">
        <is>
          <t>Pendiente</t>
        </is>
      </c>
      <c r="P56" s="8" t="inlineStr">
        <is>
          <t>Agregado</t>
        </is>
      </c>
      <c r="Q56" s="7" t="inlineStr">
        <is>
          <t>Carlos Pardo</t>
        </is>
      </c>
      <c r="R56" s="7" t="inlineStr"/>
    </row>
    <row r="57">
      <c r="A57" s="19" t="inlineStr">
        <is>
          <t>5.10</t>
        </is>
      </c>
      <c r="B57" s="4" t="inlineStr">
        <is>
          <t>5. Convenios y pulido</t>
        </is>
      </c>
      <c r="C57" s="7" t="inlineStr">
        <is>
          <t>Ley 1581: borrado automático de fotos de afiliaciones rechazadas tras X días (pg_cron o cron de Vercel) y motivo de rechazo en /admin (columna y campo)</t>
        </is>
      </c>
      <c r="D57" s="5" t="n">
        <v>2</v>
      </c>
      <c r="E57" s="8">
        <f>D57</f>
        <v/>
      </c>
      <c r="F57" s="4" t="inlineStr">
        <is>
          <t>2.12, 4.1</t>
        </is>
      </c>
      <c r="G57" s="7" t="inlineStr">
        <is>
          <t>Sí</t>
        </is>
      </c>
      <c r="H57" s="7" t="inlineStr">
        <is>
          <t>6.6</t>
        </is>
      </c>
      <c r="I57" s="18" t="inlineStr">
        <is>
          <t>B</t>
        </is>
      </c>
      <c r="J57" s="8" t="n">
        <v>64</v>
      </c>
      <c r="K57" s="8" t="n">
        <v>76</v>
      </c>
      <c r="L57" s="8">
        <f>K57+E57</f>
        <v/>
      </c>
      <c r="M57" s="8">
        <f>K57-J57</f>
        <v/>
      </c>
      <c r="N57" s="8">
        <f>"S"&amp;(INT(K57/Resumen!$C$5)+1)&amp;"–S"&amp;MAX(INT(K57/Resumen!$C$5)+1,ROUNDUP(L57/Resumen!$C$5,0))</f>
        <v/>
      </c>
      <c r="O57" s="8" t="inlineStr">
        <is>
          <t>Pendiente</t>
        </is>
      </c>
      <c r="P57" s="8" t="inlineStr">
        <is>
          <t>Agregado</t>
        </is>
      </c>
      <c r="Q57" s="7" t="inlineStr">
        <is>
          <t>Carlos Pardo</t>
        </is>
      </c>
      <c r="R57" s="7" t="inlineStr"/>
    </row>
    <row r="58">
      <c r="A58" s="19" t="inlineStr">
        <is>
          <t>6.1</t>
        </is>
      </c>
      <c r="B58" s="4" t="inlineStr">
        <is>
          <t>6. Pruebas y lanzamiento</t>
        </is>
      </c>
      <c r="C58" s="7" t="inlineStr">
        <is>
          <t>Pruebas de las nuevas Server Actions (login, afiliación, crédito, admin)</t>
        </is>
      </c>
      <c r="D58" s="5" t="n">
        <v>3</v>
      </c>
      <c r="E58" s="8">
        <f>D58</f>
        <v/>
      </c>
      <c r="F58" s="4" t="inlineStr">
        <is>
          <t>2.10, 3.6, 4.3, 4.5</t>
        </is>
      </c>
      <c r="G58" s="7" t="inlineStr">
        <is>
          <t>Sí</t>
        </is>
      </c>
      <c r="H58" s="7" t="inlineStr">
        <is>
          <t>6.2, 5.3</t>
        </is>
      </c>
      <c r="I58" s="18" t="inlineStr">
        <is>
          <t>A</t>
        </is>
      </c>
      <c r="J58" s="8" t="n">
        <v>67</v>
      </c>
      <c r="K58" s="8" t="n">
        <v>67</v>
      </c>
      <c r="L58" s="8">
        <f>K58+E58</f>
        <v/>
      </c>
      <c r="M58" s="8">
        <f>K58-J58</f>
        <v/>
      </c>
      <c r="N58" s="8">
        <f>"S"&amp;(INT(K58/Resumen!$C$5)+1)&amp;"–S"&amp;MAX(INT(K58/Resumen!$C$5)+1,ROUNDUP(L58/Resumen!$C$5,0))</f>
        <v/>
      </c>
      <c r="O58" s="8" t="inlineStr">
        <is>
          <t>En curso</t>
        </is>
      </c>
      <c r="P58" s="8" t="inlineStr">
        <is>
          <t>Propuesta</t>
        </is>
      </c>
      <c r="Q58" s="7" t="inlineStr">
        <is>
          <t>ga-escritor-tests</t>
        </is>
      </c>
      <c r="R58" s="7" t="inlineStr"/>
    </row>
    <row r="59">
      <c r="A59" s="19" t="inlineStr">
        <is>
          <t>6.2</t>
        </is>
      </c>
      <c r="B59" s="4" t="inlineStr">
        <is>
          <t>6. Pruebas y lanzamiento</t>
        </is>
      </c>
      <c r="C59" s="7" t="inlineStr">
        <is>
          <t>Revisión de seguridad completa</t>
        </is>
      </c>
      <c r="D59" s="5" t="n">
        <v>2</v>
      </c>
      <c r="E59" s="8">
        <f>D59</f>
        <v/>
      </c>
      <c r="F59" s="7" t="inlineStr">
        <is>
          <t>2.10, 3.6, 4.3, 4.5, 2.12, 3.9, 4.6</t>
        </is>
      </c>
      <c r="G59" s="7" t="inlineStr">
        <is>
          <t>Sí</t>
        </is>
      </c>
      <c r="H59" s="7" t="inlineStr">
        <is>
          <t>6.1</t>
        </is>
      </c>
      <c r="I59" s="18" t="inlineStr">
        <is>
          <t>B</t>
        </is>
      </c>
      <c r="J59" s="8" t="n">
        <v>67</v>
      </c>
      <c r="K59" s="8" t="n">
        <v>67</v>
      </c>
      <c r="L59" s="8">
        <f>K59+E59</f>
        <v/>
      </c>
      <c r="M59" s="8">
        <f>K59-J59</f>
        <v/>
      </c>
      <c r="N59" s="8">
        <f>"S"&amp;(INT(K59/Resumen!$C$5)+1)&amp;"–S"&amp;MAX(INT(K59/Resumen!$C$5)+1,ROUNDUP(L59/Resumen!$C$5,0))</f>
        <v/>
      </c>
      <c r="O59" s="8" t="inlineStr">
        <is>
          <t>En curso</t>
        </is>
      </c>
      <c r="P59" s="8" t="inlineStr">
        <is>
          <t>Propuesta</t>
        </is>
      </c>
      <c r="Q59" s="7" t="inlineStr">
        <is>
          <t>ga-revisor-seguridad</t>
        </is>
      </c>
      <c r="R59" s="7" t="inlineStr"/>
    </row>
    <row r="60">
      <c r="A60" s="19" t="inlineStr">
        <is>
          <t>6.3</t>
        </is>
      </c>
      <c r="B60" s="4" t="inlineStr">
        <is>
          <t>6. Pruebas y lanzamiento</t>
        </is>
      </c>
      <c r="C60" s="7" t="inlineStr">
        <is>
          <t>QA de punta a punta y verificación responsive</t>
        </is>
      </c>
      <c r="D60" s="5" t="n">
        <v>3</v>
      </c>
      <c r="E60" s="8">
        <f>D60</f>
        <v/>
      </c>
      <c r="F60" s="7" t="inlineStr">
        <is>
          <t>6.1, 5.5, 2.8, 5.3, 5.4, 2.11, 5.6, 1.6, 2.12, 3.9, 4.6</t>
        </is>
      </c>
      <c r="G60" s="7" t="inlineStr">
        <is>
          <t>Sí</t>
        </is>
      </c>
      <c r="H60" s="7" t="inlineStr">
        <is>
          <t>1.8, 6.14</t>
        </is>
      </c>
      <c r="I60" s="18" t="inlineStr">
        <is>
          <t>A</t>
        </is>
      </c>
      <c r="J60" s="8" t="n">
        <v>71</v>
      </c>
      <c r="K60" s="8" t="n">
        <v>71</v>
      </c>
      <c r="L60" s="8">
        <f>K60+E60</f>
        <v/>
      </c>
      <c r="M60" s="8">
        <f>K60-J60</f>
        <v/>
      </c>
      <c r="N60" s="8">
        <f>"S"&amp;(INT(K60/Resumen!$C$5)+1)&amp;"–S"&amp;MAX(INT(K60/Resumen!$C$5)+1,ROUNDUP(L60/Resumen!$C$5,0))</f>
        <v/>
      </c>
      <c r="O60" s="8" t="inlineStr">
        <is>
          <t>En curso</t>
        </is>
      </c>
      <c r="P60" s="8" t="inlineStr">
        <is>
          <t>Propuesta</t>
        </is>
      </c>
      <c r="Q60" s="7" t="inlineStr">
        <is>
          <t>ga-verificador-qa + ga-verificador-responsive</t>
        </is>
      </c>
      <c r="R60" s="7" t="inlineStr"/>
    </row>
    <row r="61">
      <c r="A61" s="19" t="inlineStr">
        <is>
          <t>6.4</t>
        </is>
      </c>
      <c r="B61" s="4" t="inlineStr">
        <is>
          <t>6. Pruebas y lanzamiento</t>
        </is>
      </c>
      <c r="C61" s="7" t="inlineStr">
        <is>
          <t>Registrar dominio (5 años) y protección de dominio</t>
        </is>
      </c>
      <c r="D61" s="5" t="n">
        <v>1</v>
      </c>
      <c r="E61" s="8">
        <f>D61</f>
        <v/>
      </c>
      <c r="F61" s="4" t="inlineStr">
        <is>
          <t>—</t>
        </is>
      </c>
      <c r="G61" s="7" t="inlineStr">
        <is>
          <t>Sí</t>
        </is>
      </c>
      <c r="H61" s="7" t="inlineStr">
        <is>
          <t>4.1</t>
        </is>
      </c>
      <c r="I61" s="18" t="inlineStr">
        <is>
          <t>A</t>
        </is>
      </c>
      <c r="J61" s="8" t="n">
        <v>0</v>
      </c>
      <c r="K61" s="8" t="n">
        <v>19</v>
      </c>
      <c r="L61" s="8">
        <f>K61+E61</f>
        <v/>
      </c>
      <c r="M61" s="8">
        <f>K61-J61</f>
        <v/>
      </c>
      <c r="N61" s="8">
        <f>"S"&amp;(INT(K61/Resumen!$C$5)+1)&amp;"–S"&amp;MAX(INT(K61/Resumen!$C$5)+1,ROUNDUP(L61/Resumen!$C$5,0))</f>
        <v/>
      </c>
      <c r="O61" s="8" t="inlineStr">
        <is>
          <t>Hecho</t>
        </is>
      </c>
      <c r="P61" s="8" t="inlineStr">
        <is>
          <t>Propuesta</t>
        </is>
      </c>
      <c r="Q61" s="7" t="inlineStr">
        <is>
          <t>Yo + cooperativa</t>
        </is>
      </c>
      <c r="R61" s="7" t="inlineStr"/>
    </row>
    <row r="62">
      <c r="A62" s="19" t="inlineStr">
        <is>
          <t>6.5</t>
        </is>
      </c>
      <c r="B62" s="4" t="inlineStr">
        <is>
          <t>6. Pruebas y lanzamiento</t>
        </is>
      </c>
      <c r="C62" s="7" t="inlineStr">
        <is>
          <t>Subir a GitHub y desplegar en Vercel (producción)</t>
        </is>
      </c>
      <c r="D62" s="5" t="n">
        <v>2</v>
      </c>
      <c r="E62" s="8">
        <f>D62</f>
        <v/>
      </c>
      <c r="F62" s="7" t="inlineStr">
        <is>
          <t>6.2, 6.3, 6.4, 2.4, 6.8, 6.9, 6.10, 6.13</t>
        </is>
      </c>
      <c r="G62" s="7" t="inlineStr">
        <is>
          <t>No (usa las 2 filas)</t>
        </is>
      </c>
      <c r="H62" s="7" t="inlineStr">
        <is>
          <t>—</t>
        </is>
      </c>
      <c r="I62" s="18" t="inlineStr">
        <is>
          <t>A+B</t>
        </is>
      </c>
      <c r="J62" s="8" t="n">
        <v>74</v>
      </c>
      <c r="K62" s="8" t="n">
        <v>74</v>
      </c>
      <c r="L62" s="8">
        <f>K62+E62</f>
        <v/>
      </c>
      <c r="M62" s="8">
        <f>K62-J62</f>
        <v/>
      </c>
      <c r="N62" s="8">
        <f>"S"&amp;(INT(K62/Resumen!$C$5)+1)&amp;"–S"&amp;MAX(INT(K62/Resumen!$C$5)+1,ROUNDUP(L62/Resumen!$C$5,0))</f>
        <v/>
      </c>
      <c r="O62" s="8" t="inlineStr">
        <is>
          <t>En curso</t>
        </is>
      </c>
      <c r="P62" s="8" t="inlineStr">
        <is>
          <t>Propuesta</t>
        </is>
      </c>
      <c r="Q62" s="7" t="inlineStr">
        <is>
          <t>Yo</t>
        </is>
      </c>
      <c r="R62" s="7" t="inlineStr"/>
    </row>
    <row r="63">
      <c r="A63" s="19" t="inlineStr">
        <is>
          <t>6.6</t>
        </is>
      </c>
      <c r="B63" s="4" t="inlineStr">
        <is>
          <t>6. Pruebas y lanzamiento</t>
        </is>
      </c>
      <c r="C63" s="7" t="inlineStr">
        <is>
          <t>Pruebas con usuarios reales y corrección de errores</t>
        </is>
      </c>
      <c r="D63" s="5" t="n">
        <v>3</v>
      </c>
      <c r="E63" s="8">
        <f>D63</f>
        <v/>
      </c>
      <c r="F63" s="4" t="inlineStr">
        <is>
          <t>6.5, 4.4</t>
        </is>
      </c>
      <c r="G63" s="7" t="inlineStr">
        <is>
          <t>Sí</t>
        </is>
      </c>
      <c r="H63" s="7" t="inlineStr">
        <is>
          <t>5.10, 4.8</t>
        </is>
      </c>
      <c r="I63" s="18" t="inlineStr">
        <is>
          <t>A</t>
        </is>
      </c>
      <c r="J63" s="8" t="n">
        <v>76</v>
      </c>
      <c r="K63" s="8" t="n">
        <v>76</v>
      </c>
      <c r="L63" s="8">
        <f>K63+E63</f>
        <v/>
      </c>
      <c r="M63" s="8">
        <f>K63-J63</f>
        <v/>
      </c>
      <c r="N63" s="8">
        <f>"S"&amp;(INT(K63/Resumen!$C$5)+1)&amp;"–S"&amp;MAX(INT(K63/Resumen!$C$5)+1,ROUNDUP(L63/Resumen!$C$5,0))</f>
        <v/>
      </c>
      <c r="O63" s="8" t="inlineStr">
        <is>
          <t>Pendiente</t>
        </is>
      </c>
      <c r="P63" s="8" t="inlineStr">
        <is>
          <t>Propuesta</t>
        </is>
      </c>
      <c r="Q63" s="7" t="inlineStr">
        <is>
          <t>Yo + cooperativa</t>
        </is>
      </c>
      <c r="R63" s="7" t="inlineStr"/>
    </row>
    <row r="64">
      <c r="A64" s="19" t="inlineStr">
        <is>
          <t>6.7</t>
        </is>
      </c>
      <c r="B64" s="4" t="inlineStr">
        <is>
          <t>6. Pruebas y lanzamiento</t>
        </is>
      </c>
      <c r="C64" s="7" t="inlineStr">
        <is>
          <t>Capacitación al equipo de la cooperativa</t>
        </is>
      </c>
      <c r="D64" s="5" t="n">
        <v>1</v>
      </c>
      <c r="E64" s="8">
        <f>D64</f>
        <v/>
      </c>
      <c r="F64" s="4" t="inlineStr">
        <is>
          <t>6.5</t>
        </is>
      </c>
      <c r="G64" s="7" t="inlineStr">
        <is>
          <t>Sí</t>
        </is>
      </c>
      <c r="H64" s="7" t="inlineStr">
        <is>
          <t>4.7</t>
        </is>
      </c>
      <c r="I64" s="18" t="inlineStr">
        <is>
          <t>A</t>
        </is>
      </c>
      <c r="J64" s="8" t="n">
        <v>76</v>
      </c>
      <c r="K64" s="8" t="n">
        <v>83</v>
      </c>
      <c r="L64" s="8">
        <f>K64+E64</f>
        <v/>
      </c>
      <c r="M64" s="8">
        <f>K64-J64</f>
        <v/>
      </c>
      <c r="N64" s="8">
        <f>"S"&amp;(INT(K64/Resumen!$C$5)+1)&amp;"–S"&amp;MAX(INT(K64/Resumen!$C$5)+1,ROUNDUP(L64/Resumen!$C$5,0))</f>
        <v/>
      </c>
      <c r="O64" s="8" t="inlineStr">
        <is>
          <t>Pendiente</t>
        </is>
      </c>
      <c r="P64" s="8" t="inlineStr">
        <is>
          <t>Propuesta</t>
        </is>
      </c>
      <c r="Q64" s="7" t="inlineStr">
        <is>
          <t>Yo</t>
        </is>
      </c>
      <c r="R64" s="7" t="inlineStr"/>
    </row>
    <row r="65">
      <c r="A65" s="19" t="inlineStr">
        <is>
          <t>6.8</t>
        </is>
      </c>
      <c r="B65" s="4" t="inlineStr">
        <is>
          <t>6. Pruebas y lanzamiento</t>
        </is>
      </c>
      <c r="C65" s="7" t="inlineStr">
        <is>
          <t>Revisar y aplicar en producción la migración 20260923210000_limite_de_intentos.sql (ga-auditor-supabase revisa antes)</t>
        </is>
      </c>
      <c r="D65" s="5" t="n">
        <v>1</v>
      </c>
      <c r="E65" s="8">
        <f>D65</f>
        <v/>
      </c>
      <c r="F65" s="4" t="inlineStr">
        <is>
          <t>2.5, 2.9</t>
        </is>
      </c>
      <c r="G65" s="7" t="inlineStr">
        <is>
          <t>Sí</t>
        </is>
      </c>
      <c r="H65" s="7" t="inlineStr">
        <is>
          <t>5.8</t>
        </is>
      </c>
      <c r="I65" s="18" t="inlineStr">
        <is>
          <t>A</t>
        </is>
      </c>
      <c r="J65" s="8" t="n">
        <v>27</v>
      </c>
      <c r="K65" s="8" t="n">
        <v>58</v>
      </c>
      <c r="L65" s="8">
        <f>K65+E65</f>
        <v/>
      </c>
      <c r="M65" s="8">
        <f>K65-J65</f>
        <v/>
      </c>
      <c r="N65" s="8">
        <f>"S"&amp;(INT(K65/Resumen!$C$5)+1)&amp;"–S"&amp;MAX(INT(K65/Resumen!$C$5)+1,ROUNDUP(L65/Resumen!$C$5,0))</f>
        <v/>
      </c>
      <c r="O65" s="8" t="inlineStr">
        <is>
          <t>Hecho</t>
        </is>
      </c>
      <c r="P65" s="8" t="inlineStr">
        <is>
          <t>Agregado</t>
        </is>
      </c>
      <c r="Q65" s="7" t="inlineStr">
        <is>
          <t>Yo + ga-auditor-supabase</t>
        </is>
      </c>
      <c r="R65" s="7" t="inlineStr"/>
    </row>
    <row r="66">
      <c r="A66" s="19" t="inlineStr">
        <is>
          <t>6.9</t>
        </is>
      </c>
      <c r="B66" s="4" t="inlineStr">
        <is>
          <t>6. Pruebas y lanzamiento</t>
        </is>
      </c>
      <c r="C66" s="7" t="inlineStr">
        <is>
          <t>Variables en Vercel (SUPABASE_SERVICE_ROLE_KEY, INGRESO_COOKIE_SECRET, LIMITE_HMAC_SECRET, RESEND_API_KEY, EMAIL_FROM, SITIO_URL, RESEND_TEMPLATE_INGRESO_ACEPTADO, RESEND_TEMPLATE_CREDITO_APROBADO, RESEND_TEMPLATE_CREDITO_RECHAZADO, RESEND_TEMPLATE_SORTEO_BOLETA, NEXT_PUBLIC_WHATSAPP)</t>
        </is>
      </c>
      <c r="D66" s="5" t="n">
        <v>1</v>
      </c>
      <c r="E66" s="8">
        <f>D66</f>
        <v/>
      </c>
      <c r="F66" s="4" t="inlineStr">
        <is>
          <t>2.5, 2.9, 6.11</t>
        </is>
      </c>
      <c r="G66" s="7" t="inlineStr">
        <is>
          <t>Sí</t>
        </is>
      </c>
      <c r="H66" s="7" t="inlineStr">
        <is>
          <t>3.10</t>
        </is>
      </c>
      <c r="I66" s="18" t="inlineStr">
        <is>
          <t>A</t>
        </is>
      </c>
      <c r="J66" s="8" t="n">
        <v>54</v>
      </c>
      <c r="K66" s="8" t="n">
        <v>57</v>
      </c>
      <c r="L66" s="8">
        <f>K66+E66</f>
        <v/>
      </c>
      <c r="M66" s="8">
        <f>K66-J66</f>
        <v/>
      </c>
      <c r="N66" s="8">
        <f>"S"&amp;(INT(K66/Resumen!$C$5)+1)&amp;"–S"&amp;MAX(INT(K66/Resumen!$C$5)+1,ROUNDUP(L66/Resumen!$C$5,0))</f>
        <v/>
      </c>
      <c r="O66" s="8" t="inlineStr">
        <is>
          <t>Hecho</t>
        </is>
      </c>
      <c r="P66" s="8" t="inlineStr">
        <is>
          <t>Agregado</t>
        </is>
      </c>
      <c r="Q66" s="7" t="inlineStr">
        <is>
          <t>Yo (panel Vercel)</t>
        </is>
      </c>
      <c r="R66" s="7" t="inlineStr"/>
    </row>
    <row r="67">
      <c r="A67" s="19" t="inlineStr">
        <is>
          <t>6.10</t>
        </is>
      </c>
      <c r="B67" s="4" t="inlineStr">
        <is>
          <t>6. Pruebas y lanzamiento</t>
        </is>
      </c>
      <c r="C67" s="7" t="inlineStr">
        <is>
          <t>Revisar y aplicar en producción la migración blindar_solicitudes_y_revisiones (tasa_interes_mensual); ga-auditor-supabase revisa antes</t>
        </is>
      </c>
      <c r="D67" s="5" t="n">
        <v>1</v>
      </c>
      <c r="E67" s="8">
        <f>D67</f>
        <v/>
      </c>
      <c r="F67" s="4" t="inlineStr">
        <is>
          <t>3.1</t>
        </is>
      </c>
      <c r="G67" s="7" t="inlineStr">
        <is>
          <t>Sí</t>
        </is>
      </c>
      <c r="H67" s="7" t="inlineStr">
        <is>
          <t>2.7</t>
        </is>
      </c>
      <c r="I67" s="18" t="inlineStr">
        <is>
          <t>B</t>
        </is>
      </c>
      <c r="J67" s="8" t="n">
        <v>13</v>
      </c>
      <c r="K67" s="8" t="n">
        <v>15</v>
      </c>
      <c r="L67" s="8">
        <f>K67+E67</f>
        <v/>
      </c>
      <c r="M67" s="8">
        <f>K67-J67</f>
        <v/>
      </c>
      <c r="N67" s="8">
        <f>"S"&amp;(INT(K67/Resumen!$C$5)+1)&amp;"–S"&amp;MAX(INT(K67/Resumen!$C$5)+1,ROUNDUP(L67/Resumen!$C$5,0))</f>
        <v/>
      </c>
      <c r="O67" s="8" t="inlineStr">
        <is>
          <t>Hecho</t>
        </is>
      </c>
      <c r="P67" s="8" t="inlineStr">
        <is>
          <t>Agregado</t>
        </is>
      </c>
      <c r="Q67" s="7" t="inlineStr">
        <is>
          <t>Yo + ga-auditor-supabase</t>
        </is>
      </c>
      <c r="R67" s="7" t="inlineStr"/>
    </row>
    <row r="68">
      <c r="A68" s="19" t="inlineStr">
        <is>
          <t>6.11</t>
        </is>
      </c>
      <c r="B68" s="4" t="inlineStr">
        <is>
          <t>6. Pruebas y lanzamiento</t>
        </is>
      </c>
      <c r="C68" s="7" t="inlineStr">
        <is>
          <t>Clave del límite de intentos con HMAC-SHA256 y LIMITE_HMAC_SECRET (M-2 de la auditoría de P-43)</t>
        </is>
      </c>
      <c r="D68" s="5" t="n">
        <v>1</v>
      </c>
      <c r="E68" s="8">
        <f>D68</f>
        <v/>
      </c>
      <c r="F68" s="4" t="inlineStr">
        <is>
          <t>2.5, 2.9</t>
        </is>
      </c>
      <c r="G68" s="7" t="inlineStr">
        <is>
          <t>Sí</t>
        </is>
      </c>
      <c r="H68" s="7" t="inlineStr">
        <is>
          <t>4.4</t>
        </is>
      </c>
      <c r="I68" s="18" t="inlineStr">
        <is>
          <t>A</t>
        </is>
      </c>
      <c r="J68" s="8" t="n">
        <v>27</v>
      </c>
      <c r="K68" s="8" t="n">
        <v>53</v>
      </c>
      <c r="L68" s="8">
        <f>K68+E68</f>
        <v/>
      </c>
      <c r="M68" s="8">
        <f>K68-J68</f>
        <v/>
      </c>
      <c r="N68" s="8">
        <f>"S"&amp;(INT(K68/Resumen!$C$5)+1)&amp;"–S"&amp;MAX(INT(K68/Resumen!$C$5)+1,ROUNDUP(L68/Resumen!$C$5,0))</f>
        <v/>
      </c>
      <c r="O68" s="8" t="inlineStr">
        <is>
          <t>Hecho</t>
        </is>
      </c>
      <c r="P68" s="8" t="inlineStr">
        <is>
          <t>Agregado</t>
        </is>
      </c>
      <c r="Q68" s="7" t="inlineStr">
        <is>
          <t>ga-funcionalidad-botones</t>
        </is>
      </c>
      <c r="R68" s="7" t="inlineStr"/>
    </row>
    <row r="69">
      <c r="A69" s="19" t="inlineStr">
        <is>
          <t>6.12</t>
        </is>
      </c>
      <c r="B69" s="4" t="inlineStr">
        <is>
          <t>6. Pruebas y lanzamiento</t>
        </is>
      </c>
      <c r="C69" s="7" t="inlineStr">
        <is>
          <t>Alerta en los logs de Vercel para limite_de_intentos_fallo y limite_secreto_faltante</t>
        </is>
      </c>
      <c r="D69" s="5" t="n">
        <v>1</v>
      </c>
      <c r="E69" s="8">
        <f>D69</f>
        <v/>
      </c>
      <c r="F69" s="4" t="inlineStr">
        <is>
          <t>6.11</t>
        </is>
      </c>
      <c r="G69" s="7" t="inlineStr">
        <is>
          <t>Sí</t>
        </is>
      </c>
      <c r="H69" s="7" t="inlineStr">
        <is>
          <t>4.3</t>
        </is>
      </c>
      <c r="I69" s="18" t="inlineStr">
        <is>
          <t>B</t>
        </is>
      </c>
      <c r="J69" s="8" t="n">
        <v>64</v>
      </c>
      <c r="K69" s="8" t="n">
        <v>66</v>
      </c>
      <c r="L69" s="8">
        <f>K69+E69</f>
        <v/>
      </c>
      <c r="M69" s="8">
        <f>K69-J69</f>
        <v/>
      </c>
      <c r="N69" s="8">
        <f>"S"&amp;(INT(K69/Resumen!$C$5)+1)&amp;"–S"&amp;MAX(INT(K69/Resumen!$C$5)+1,ROUNDUP(L69/Resumen!$C$5,0))</f>
        <v/>
      </c>
      <c r="O69" s="8" t="inlineStr">
        <is>
          <t>Pendiente</t>
        </is>
      </c>
      <c r="P69" s="8" t="inlineStr">
        <is>
          <t>Agregado</t>
        </is>
      </c>
      <c r="Q69" s="7" t="inlineStr">
        <is>
          <t>Yo (panel Vercel)</t>
        </is>
      </c>
      <c r="R69" s="7" t="inlineStr"/>
    </row>
    <row r="70">
      <c r="A70" s="19" t="inlineStr">
        <is>
          <t>6.13</t>
        </is>
      </c>
      <c r="B70" s="4" t="inlineStr">
        <is>
          <t>6. Pruebas y lanzamiento</t>
        </is>
      </c>
      <c r="C70" s="7" t="inlineStr">
        <is>
          <t>Aplicar en producción las 9 migraciones de fase 2 (20260924000000…000800), tras comprobar 0 afiliaciones, y desplegar enseguida</t>
        </is>
      </c>
      <c r="D70" s="5" t="n">
        <v>1</v>
      </c>
      <c r="E70" s="8">
        <f>D70</f>
        <v/>
      </c>
      <c r="F70" s="4" t="inlineStr">
        <is>
          <t>1.6</t>
        </is>
      </c>
      <c r="G70" s="7" t="inlineStr">
        <is>
          <t>Sí</t>
        </is>
      </c>
      <c r="H70" s="7" t="inlineStr">
        <is>
          <t>2.14</t>
        </is>
      </c>
      <c r="I70" s="18" t="inlineStr">
        <is>
          <t>A</t>
        </is>
      </c>
      <c r="J70" s="8" t="n">
        <v>42</v>
      </c>
      <c r="K70" s="8" t="n">
        <v>45</v>
      </c>
      <c r="L70" s="8">
        <f>K70+E70</f>
        <v/>
      </c>
      <c r="M70" s="8">
        <f>K70-J70</f>
        <v/>
      </c>
      <c r="N70" s="8">
        <f>"S"&amp;(INT(K70/Resumen!$C$5)+1)&amp;"–S"&amp;MAX(INT(K70/Resumen!$C$5)+1,ROUNDUP(L70/Resumen!$C$5,0))</f>
        <v/>
      </c>
      <c r="O70" s="8" t="inlineStr">
        <is>
          <t>Hecho</t>
        </is>
      </c>
      <c r="P70" s="8" t="inlineStr">
        <is>
          <t>Agregado</t>
        </is>
      </c>
      <c r="Q70" s="7" t="inlineStr">
        <is>
          <t>Sebas (ga-auditor-supabase revisa antes)</t>
        </is>
      </c>
      <c r="R70" s="7" t="inlineStr"/>
    </row>
    <row r="71">
      <c r="A71" s="19" t="inlineStr">
        <is>
          <t>6.14</t>
        </is>
      </c>
      <c r="B71" s="4" t="inlineStr">
        <is>
          <t>6. Pruebas y lanzamiento</t>
        </is>
      </c>
      <c r="C71" s="7" t="inlineStr">
        <is>
          <t>Pruebas en celulares reales (Android e iPhone): cámara para fotos, ingreso con código, sorteo, crédito y cómo se ven los correos en Gmail y Outlook; informe con capturas</t>
        </is>
      </c>
      <c r="D71" s="5" t="n">
        <v>1</v>
      </c>
      <c r="E71" s="8">
        <f>D71</f>
        <v/>
      </c>
      <c r="F71" s="4" t="inlineStr">
        <is>
          <t>2.12, 3.9, 3.7, 4.5</t>
        </is>
      </c>
      <c r="G71" s="7" t="inlineStr">
        <is>
          <t>Sí</t>
        </is>
      </c>
      <c r="H71" s="7" t="inlineStr">
        <is>
          <t>6.3</t>
        </is>
      </c>
      <c r="I71" s="18" t="inlineStr">
        <is>
          <t>B</t>
        </is>
      </c>
      <c r="J71" s="8" t="n">
        <v>64</v>
      </c>
      <c r="K71" s="8" t="n">
        <v>73</v>
      </c>
      <c r="L71" s="8">
        <f>K71+E71</f>
        <v/>
      </c>
      <c r="M71" s="8">
        <f>K71-J71</f>
        <v/>
      </c>
      <c r="N71" s="8">
        <f>"S"&amp;(INT(K71/Resumen!$C$5)+1)&amp;"–S"&amp;MAX(INT(K71/Resumen!$C$5)+1,ROUNDUP(L71/Resumen!$C$5,0))</f>
        <v/>
      </c>
      <c r="O71" s="8" t="inlineStr">
        <is>
          <t>Pendiente</t>
        </is>
      </c>
      <c r="P71" s="8" t="inlineStr">
        <is>
          <t>Agregado</t>
        </is>
      </c>
      <c r="Q71" s="7" t="inlineStr">
        <is>
          <t>Carlos Pardo</t>
        </is>
      </c>
      <c r="R71" s="7" t="inlineStr"/>
    </row>
    <row r="72">
      <c r="A72" s="19" t="inlineStr">
        <is>
          <t>6.15</t>
        </is>
      </c>
      <c r="B72" s="4" t="inlineStr">
        <is>
          <t>6. Pruebas y lanzamiento</t>
        </is>
      </c>
      <c r="C72" s="7" t="inlineStr">
        <is>
          <t>Actualizar tests/e2e b-ingreso, i-despliegue y j-produccion al formato nuevo de máscara de correo</t>
        </is>
      </c>
      <c r="D72" s="5" t="n">
        <v>1</v>
      </c>
      <c r="E72" s="8">
        <f>D72</f>
        <v/>
      </c>
      <c r="F72" s="4" t="inlineStr">
        <is>
          <t>6.1</t>
        </is>
      </c>
      <c r="G72" s="7" t="inlineStr">
        <is>
          <t>Sí</t>
        </is>
      </c>
      <c r="H72" s="7" t="inlineStr">
        <is>
          <t>4.7</t>
        </is>
      </c>
      <c r="I72" s="18" t="inlineStr">
        <is>
          <t>A</t>
        </is>
      </c>
      <c r="J72" s="8" t="n">
        <v>70</v>
      </c>
      <c r="K72" s="8" t="n">
        <v>82</v>
      </c>
      <c r="L72" s="8">
        <f>K72+E72</f>
        <v/>
      </c>
      <c r="M72" s="8">
        <f>K72-J72</f>
        <v/>
      </c>
      <c r="N72" s="8">
        <f>"S"&amp;(INT(K72/Resumen!$C$5)+1)&amp;"–S"&amp;MAX(INT(K72/Resumen!$C$5)+1,ROUNDUP(L72/Resumen!$C$5,0))</f>
        <v/>
      </c>
      <c r="O72" s="8" t="inlineStr">
        <is>
          <t>Pendiente</t>
        </is>
      </c>
      <c r="P72" s="8" t="inlineStr">
        <is>
          <t>Agregado</t>
        </is>
      </c>
      <c r="Q72" s="7" t="inlineStr">
        <is>
          <t>Carlos Pardo</t>
        </is>
      </c>
      <c r="R72" s="7" t="inlineStr"/>
    </row>
    <row r="73">
      <c r="A73" s="19" t="inlineStr">
        <is>
          <t>6.16</t>
        </is>
      </c>
      <c r="B73" s="4" t="inlineStr">
        <is>
          <t>6. Pruebas y lanzamiento</t>
        </is>
      </c>
      <c r="C73" s="7" t="inlineStr">
        <is>
          <t>Actualizar tests/e2e (e-diseno, a-navegacion) tras el rediseño C+ de la landing e ingreso/afiliación</t>
        </is>
      </c>
      <c r="D73" s="5" t="n">
        <v>1</v>
      </c>
      <c r="E73" s="8">
        <f>D73</f>
        <v/>
      </c>
      <c r="F73" s="4" t="inlineStr">
        <is>
          <t>2.14, 2.15</t>
        </is>
      </c>
      <c r="G73" s="7" t="inlineStr">
        <is>
          <t>Sí</t>
        </is>
      </c>
      <c r="H73" s="7" t="inlineStr">
        <is>
          <t>3.10</t>
        </is>
      </c>
      <c r="I73" s="18" t="inlineStr">
        <is>
          <t>A</t>
        </is>
      </c>
      <c r="J73" s="8" t="n">
        <v>52</v>
      </c>
      <c r="K73" s="8" t="n">
        <v>56</v>
      </c>
      <c r="L73" s="8">
        <f>K73+E73</f>
        <v/>
      </c>
      <c r="M73" s="8">
        <f>K73-J73</f>
        <v/>
      </c>
      <c r="N73" s="8">
        <f>"S"&amp;(INT(K73/Resumen!$C$5)+1)&amp;"–S"&amp;MAX(INT(K73/Resumen!$C$5)+1,ROUNDUP(L73/Resumen!$C$5,0))</f>
        <v/>
      </c>
      <c r="O73" s="8" t="inlineStr">
        <is>
          <t>Hecho</t>
        </is>
      </c>
      <c r="P73" s="8" t="inlineStr">
        <is>
          <t>Agregado</t>
        </is>
      </c>
      <c r="Q73" s="7" t="inlineStr">
        <is>
          <t>ga-verificador-qa</t>
        </is>
      </c>
      <c r="R73" s="7" t="inlineStr"/>
    </row>
    <row r="74">
      <c r="A74" s="19" t="inlineStr">
        <is>
          <t>6.19</t>
        </is>
      </c>
      <c r="B74" s="4" t="inlineStr">
        <is>
          <t>6. Pruebas y lanzamiento</t>
        </is>
      </c>
      <c r="C74" s="7" t="inlineStr">
        <is>
          <t>Actualizar tests/responsive/logo-y-fotos tras el rediseño C+ de la landing</t>
        </is>
      </c>
      <c r="D74" s="5" t="n">
        <v>1</v>
      </c>
      <c r="E74" s="8">
        <f>D74</f>
        <v/>
      </c>
      <c r="F74" s="4" t="inlineStr">
        <is>
          <t>2.14, 2.15</t>
        </is>
      </c>
      <c r="G74" s="7" t="inlineStr">
        <is>
          <t>Sí</t>
        </is>
      </c>
      <c r="H74" s="7" t="inlineStr">
        <is>
          <t>4.4</t>
        </is>
      </c>
      <c r="I74" s="18" t="inlineStr">
        <is>
          <t>A</t>
        </is>
      </c>
      <c r="J74" s="8" t="n">
        <v>52</v>
      </c>
      <c r="K74" s="8" t="n">
        <v>52</v>
      </c>
      <c r="L74" s="8">
        <f>K74+E74</f>
        <v/>
      </c>
      <c r="M74" s="8">
        <f>K74-J74</f>
        <v/>
      </c>
      <c r="N74" s="8">
        <f>"S"&amp;(INT(K74/Resumen!$C$5)+1)&amp;"–S"&amp;MAX(INT(K74/Resumen!$C$5)+1,ROUNDUP(L74/Resumen!$C$5,0))</f>
        <v/>
      </c>
      <c r="O74" s="8" t="inlineStr">
        <is>
          <t>Hecho</t>
        </is>
      </c>
      <c r="P74" s="8" t="inlineStr">
        <is>
          <t>Agregado</t>
        </is>
      </c>
      <c r="Q74" s="7" t="inlineStr">
        <is>
          <t>ga-verificador-responsive</t>
        </is>
      </c>
      <c r="R74" s="7" t="inlineStr"/>
    </row>
    <row r="75">
      <c r="A75" s="19" t="inlineStr">
        <is>
          <t>6.17</t>
        </is>
      </c>
      <c r="B75" s="4" t="inlineStr">
        <is>
          <t>6. Pruebas y lanzamiento</t>
        </is>
      </c>
      <c r="C75" s="7" t="inlineStr">
        <is>
          <t>QA, seguridad y responsive del rediseño C+ de punta a punta</t>
        </is>
      </c>
      <c r="D75" s="5" t="n">
        <v>3</v>
      </c>
      <c r="E75" s="8">
        <f>D75</f>
        <v/>
      </c>
      <c r="F75" s="7" t="inlineStr">
        <is>
          <t>6.16, 6.19, 2.15, 3.10, 4.10, 4.11</t>
        </is>
      </c>
      <c r="G75" s="7" t="inlineStr">
        <is>
          <t>Sí</t>
        </is>
      </c>
      <c r="H75" s="7" t="inlineStr">
        <is>
          <t>2.13, 3.2</t>
        </is>
      </c>
      <c r="I75" s="18" t="inlineStr">
        <is>
          <t>A</t>
        </is>
      </c>
      <c r="J75" s="8" t="n">
        <v>58</v>
      </c>
      <c r="K75" s="8" t="n">
        <v>59</v>
      </c>
      <c r="L75" s="8">
        <f>K75+E75</f>
        <v/>
      </c>
      <c r="M75" s="8">
        <f>K75-J75</f>
        <v/>
      </c>
      <c r="N75" s="8">
        <f>"S"&amp;(INT(K75/Resumen!$C$5)+1)&amp;"–S"&amp;MAX(INT(K75/Resumen!$C$5)+1,ROUNDUP(L75/Resumen!$C$5,0))</f>
        <v/>
      </c>
      <c r="O75" s="8" t="inlineStr">
        <is>
          <t>Hecho</t>
        </is>
      </c>
      <c r="P75" s="8" t="inlineStr">
        <is>
          <t>Agregado</t>
        </is>
      </c>
      <c r="Q75" s="7" t="inlineStr">
        <is>
          <t>ga-verificador-qa + ga-verificador-responsive + ga-revisor-seguridad</t>
        </is>
      </c>
      <c r="R75" s="7" t="inlineStr"/>
    </row>
    <row r="76">
      <c r="A76" s="19" t="inlineStr">
        <is>
          <t>6.18</t>
        </is>
      </c>
      <c r="B76" s="4" t="inlineStr">
        <is>
          <t>6. Pruebas y lanzamiento</t>
        </is>
      </c>
      <c r="C76" s="7" t="inlineStr">
        <is>
          <t>Fusionar la rama rediseno-c-plus a develop</t>
        </is>
      </c>
      <c r="D76" s="5" t="n">
        <v>1</v>
      </c>
      <c r="E76" s="8">
        <f>D76</f>
        <v/>
      </c>
      <c r="F76" s="4" t="inlineStr">
        <is>
          <t>6.17</t>
        </is>
      </c>
      <c r="G76" s="7" t="inlineStr">
        <is>
          <t>Sí</t>
        </is>
      </c>
      <c r="H76" s="7" t="inlineStr">
        <is>
          <t>5.3</t>
        </is>
      </c>
      <c r="I76" s="18" t="inlineStr">
        <is>
          <t>A</t>
        </is>
      </c>
      <c r="J76" s="8" t="n">
        <v>64</v>
      </c>
      <c r="K76" s="8" t="n">
        <v>70</v>
      </c>
      <c r="L76" s="8">
        <f>K76+E76</f>
        <v/>
      </c>
      <c r="M76" s="8">
        <f>K76-J76</f>
        <v/>
      </c>
      <c r="N76" s="8">
        <f>"S"&amp;(INT(K76/Resumen!$C$5)+1)&amp;"–S"&amp;MAX(INT(K76/Resumen!$C$5)+1,ROUNDUP(L76/Resumen!$C$5,0))</f>
        <v/>
      </c>
      <c r="O76" s="8" t="inlineStr">
        <is>
          <t>Pendiente</t>
        </is>
      </c>
      <c r="P76" s="8" t="inlineStr">
        <is>
          <t>Agregado</t>
        </is>
      </c>
      <c r="Q76" s="7" t="inlineStr">
        <is>
          <t>Sebas</t>
        </is>
      </c>
      <c r="R76" s="7" t="inlineStr"/>
    </row>
    <row r="78">
      <c r="A78" s="3" t="inlineStr">
        <is>
          <t>Notas</t>
        </is>
      </c>
    </row>
    <row r="79">
      <c r="A79" s="2" t="inlineStr">
        <is>
          <t>Peso (azul, fondo amarillo) = dato de entrada; 1 punto de peso = 1 bloque de tiempo (ver hoja Pesos).</t>
        </is>
      </c>
    </row>
    <row r="80">
      <c r="A80" s="2" t="inlineStr">
        <is>
          <t>«Origen: Agregado» = actividad que no estaba en la propuesta del 31-ago (p. ej. ingreso con código, afiliación, importación).</t>
        </is>
      </c>
    </row>
    <row r="81">
      <c r="A81" s="2" t="inlineStr">
        <is>
          <t>«En paralelo con» lista las tareas que comparten tiempo con esta en el plan optimizado.</t>
        </is>
      </c>
    </row>
    <row r="82">
      <c r="A82" s="2" t="inlineStr">
        <is>
          <t>Espera en cola = bloques entre que la tarea queda lista y una fila la toma.</t>
        </is>
      </c>
    </row>
  </sheetData>
  <autoFilter ref="A4:R76"/>
  <conditionalFormatting sqref="O5:O76">
    <cfRule type="expression" priority="1" dxfId="1">
      <formula>$O5="Hecho"</formula>
    </cfRule>
    <cfRule type="expression" priority="2" dxfId="2">
      <formula>$O5="En curso"</formula>
    </cfRule>
    <cfRule type="expression" priority="3" dxfId="3">
      <formula>$O5="Pendiente"</formula>
    </cfRule>
    <cfRule type="expression" priority="4" dxfId="4">
      <formula>$O5="Bloqueado"</formula>
    </cfRule>
  </conditionalFormatting>
  <dataValidations count="1">
    <dataValidation sqref="O5:O76" showDropDown="0" showInputMessage="0" showErrorMessage="0" allowBlank="0" type="list">
      <formula1>"Hecho,En curso,Pendiente,Bloqueado"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S86"/>
  <sheetViews>
    <sheetView showGridLines="0" zoomScale="80" workbookViewId="0">
      <pane xSplit="7" ySplit="7" topLeftCell="H8" activePane="bottomRight" state="frozen"/>
      <selection pane="topRight"/>
      <selection pane="bottomLeft"/>
      <selection pane="bottomRight" activeCell="A1" sqref="A1"/>
    </sheetView>
  </sheetViews>
  <sheetFormatPr baseColWidth="8" defaultRowHeight="15"/>
  <cols>
    <col width="6" customWidth="1" min="1" max="1"/>
    <col width="44" customWidth="1" min="2" max="2"/>
    <col width="6" customWidth="1" min="3" max="3"/>
    <col width="5" customWidth="1" min="4" max="4"/>
    <col width="6" customWidth="1" min="5" max="5"/>
    <col width="6" customWidth="1" min="6" max="6"/>
    <col width="10" customWidth="1" min="7" max="7"/>
    <col width="3.2" customWidth="1" min="8" max="8"/>
    <col width="3.2" customWidth="1" min="9" max="9"/>
    <col width="3.2" customWidth="1" min="10" max="10"/>
    <col width="3.2" customWidth="1" min="11" max="11"/>
    <col width="3.2" customWidth="1" min="12" max="12"/>
    <col width="3.2" customWidth="1" min="13" max="13"/>
    <col width="3.2" customWidth="1" min="14" max="14"/>
    <col width="3.2" customWidth="1" min="15" max="15"/>
    <col width="3.2" customWidth="1" min="16" max="16"/>
    <col width="3.2" customWidth="1" min="17" max="17"/>
    <col width="3.2" customWidth="1" min="18" max="18"/>
    <col width="3.2" customWidth="1" min="19" max="19"/>
    <col width="3.2" customWidth="1" min="20" max="20"/>
    <col width="3.2" customWidth="1" min="21" max="21"/>
    <col width="3.2" customWidth="1" min="22" max="22"/>
    <col width="3.2" customWidth="1" min="23" max="23"/>
    <col width="3.2" customWidth="1" min="24" max="24"/>
    <col width="3.2" customWidth="1" min="25" max="25"/>
    <col width="3.2" customWidth="1" min="26" max="26"/>
    <col width="3.2" customWidth="1" min="27" max="27"/>
    <col width="3.2" customWidth="1" min="28" max="28"/>
    <col width="3.2" customWidth="1" min="29" max="29"/>
    <col width="3.2" customWidth="1" min="30" max="30"/>
    <col width="3.2" customWidth="1" min="31" max="31"/>
    <col width="3.2" customWidth="1" min="32" max="32"/>
    <col width="3.2" customWidth="1" min="33" max="33"/>
    <col width="3.2" customWidth="1" min="34" max="34"/>
    <col width="3.2" customWidth="1" min="35" max="35"/>
    <col width="3.2" customWidth="1" min="36" max="36"/>
    <col width="3.2" customWidth="1" min="37" max="37"/>
    <col width="3.2" customWidth="1" min="38" max="38"/>
    <col width="3.2" customWidth="1" min="39" max="39"/>
    <col width="3.2" customWidth="1" min="40" max="40"/>
    <col width="3.2" customWidth="1" min="41" max="41"/>
    <col width="3.2" customWidth="1" min="42" max="42"/>
    <col width="3.2" customWidth="1" min="43" max="43"/>
    <col width="3.2" customWidth="1" min="44" max="44"/>
    <col width="3.2" customWidth="1" min="45" max="45"/>
    <col width="3.2" customWidth="1" min="46" max="46"/>
    <col width="3.2" customWidth="1" min="47" max="47"/>
    <col width="3.2" customWidth="1" min="48" max="48"/>
    <col width="3.2" customWidth="1" min="49" max="49"/>
    <col width="3.2" customWidth="1" min="50" max="50"/>
    <col width="3.2" customWidth="1" min="51" max="51"/>
    <col width="3.2" customWidth="1" min="52" max="52"/>
    <col width="3.2" customWidth="1" min="53" max="53"/>
    <col width="3.2" customWidth="1" min="54" max="54"/>
    <col width="3.2" customWidth="1" min="55" max="55"/>
    <col width="3.2" customWidth="1" min="56" max="56"/>
    <col width="3.2" customWidth="1" min="57" max="57"/>
    <col width="3.2" customWidth="1" min="58" max="58"/>
    <col width="3.2" customWidth="1" min="59" max="59"/>
    <col width="3.2" customWidth="1" min="60" max="60"/>
    <col width="3.2" customWidth="1" min="61" max="61"/>
    <col width="3.2" customWidth="1" min="62" max="62"/>
    <col width="3.2" customWidth="1" min="63" max="63"/>
    <col width="3.2" customWidth="1" min="64" max="64"/>
    <col width="3.2" customWidth="1" min="65" max="65"/>
    <col width="3.2" customWidth="1" min="66" max="66"/>
    <col width="3.2" customWidth="1" min="67" max="67"/>
    <col width="3.2" customWidth="1" min="68" max="68"/>
    <col width="3.2" customWidth="1" min="69" max="69"/>
    <col width="3.2" customWidth="1" min="70" max="70"/>
    <col width="3.2" customWidth="1" min="71" max="71"/>
    <col width="3.2" customWidth="1" min="72" max="72"/>
    <col width="3.2" customWidth="1" min="73" max="73"/>
    <col width="3.2" customWidth="1" min="74" max="74"/>
    <col width="3.2" customWidth="1" min="75" max="75"/>
    <col width="3.2" customWidth="1" min="76" max="76"/>
    <col width="3.2" customWidth="1" min="77" max="77"/>
    <col width="3.2" customWidth="1" min="78" max="78"/>
    <col width="3.2" customWidth="1" min="79" max="79"/>
    <col width="3.2" customWidth="1" min="80" max="80"/>
    <col width="3.2" customWidth="1" min="81" max="81"/>
    <col width="3.2" customWidth="1" min="82" max="82"/>
    <col width="3.2" customWidth="1" min="83" max="83"/>
    <col width="3.2" customWidth="1" min="84" max="84"/>
    <col width="3.2" customWidth="1" min="85" max="85"/>
    <col width="3.2" customWidth="1" min="86" max="86"/>
    <col width="3.2" customWidth="1" min="87" max="87"/>
    <col width="3.2" customWidth="1" min="88" max="88"/>
    <col width="3.2" customWidth="1" min="89" max="89"/>
    <col width="3.2" customWidth="1" min="90" max="90"/>
    <col width="3.2" customWidth="1" min="91" max="91"/>
    <col width="3.2" customWidth="1" min="92" max="92"/>
    <col width="3.2" customWidth="1" min="93" max="93"/>
    <col width="3.2" customWidth="1" min="94" max="94"/>
    <col width="3.2" customWidth="1" min="95" max="95"/>
    <col width="3.2" customWidth="1" min="96" max="96"/>
    <col width="3.2" customWidth="1" min="97" max="97"/>
  </cols>
  <sheetData>
    <row r="1">
      <c r="A1" s="1" t="inlineStr">
        <is>
          <t>Diagrama de Gantt optimizado — 2 filas, cola infinita</t>
        </is>
      </c>
    </row>
    <row r="2">
      <c r="A2" s="2" t="inlineStr">
        <is>
          <t>El número al inicio de cada barra es el peso (1–5). Verde = Fila A, azul = Fila B, morado = usa las 2 filas, gris verdoso = hecho, ámbar = bloqueado por la cooperativa. Columna roja = HOY.</t>
        </is>
      </c>
    </row>
    <row r="4">
      <c r="H4" s="22" t="inlineStr">
        <is>
          <t>Semana 1</t>
        </is>
      </c>
      <c r="R4" s="22" t="inlineStr">
        <is>
          <t>Semana 2</t>
        </is>
      </c>
      <c r="AB4" s="22" t="inlineStr">
        <is>
          <t>Semana 3</t>
        </is>
      </c>
      <c r="AL4" s="22" t="inlineStr">
        <is>
          <t>Semana 4</t>
        </is>
      </c>
      <c r="AV4" s="22" t="inlineStr">
        <is>
          <t>Semana 5</t>
        </is>
      </c>
      <c r="BF4" s="22" t="inlineStr">
        <is>
          <t>Semana 6</t>
        </is>
      </c>
      <c r="BP4" s="22" t="inlineStr">
        <is>
          <t>Semana 7</t>
        </is>
      </c>
      <c r="BZ4" s="22" t="inlineStr">
        <is>
          <t>Semana 8</t>
        </is>
      </c>
      <c r="CJ4" s="22" t="inlineStr">
        <is>
          <t>Semana 9</t>
        </is>
      </c>
    </row>
    <row r="5">
      <c r="A5" s="23" t="inlineStr">
        <is>
          <t>ID</t>
        </is>
      </c>
      <c r="B5" s="23" t="inlineStr">
        <is>
          <t>Actividad</t>
        </is>
      </c>
      <c r="C5" s="23" t="inlineStr">
        <is>
          <t>Peso</t>
        </is>
      </c>
      <c r="D5" s="23" t="inlineStr">
        <is>
          <t>Fila</t>
        </is>
      </c>
      <c r="E5" s="23" t="inlineStr">
        <is>
          <t>Inicio</t>
        </is>
      </c>
      <c r="F5" s="23" t="inlineStr">
        <is>
          <t>Fin</t>
        </is>
      </c>
      <c r="G5" s="23" t="inlineStr">
        <is>
          <t>Estado</t>
        </is>
      </c>
      <c r="H5" s="24" t="n">
        <v>1</v>
      </c>
      <c r="I5" s="24" t="n">
        <v>2</v>
      </c>
      <c r="J5" s="24" t="n">
        <v>3</v>
      </c>
      <c r="K5" s="24" t="n">
        <v>4</v>
      </c>
      <c r="L5" s="24" t="n">
        <v>5</v>
      </c>
      <c r="M5" s="24" t="n">
        <v>6</v>
      </c>
      <c r="N5" s="24" t="n">
        <v>7</v>
      </c>
      <c r="O5" s="24" t="n">
        <v>8</v>
      </c>
      <c r="P5" s="24" t="n">
        <v>9</v>
      </c>
      <c r="Q5" s="24" t="n">
        <v>10</v>
      </c>
      <c r="R5" s="24" t="n">
        <v>11</v>
      </c>
      <c r="S5" s="24" t="n">
        <v>12</v>
      </c>
      <c r="T5" s="24" t="n">
        <v>13</v>
      </c>
      <c r="U5" s="24" t="n">
        <v>14</v>
      </c>
      <c r="V5" s="24" t="n">
        <v>15</v>
      </c>
      <c r="W5" s="24" t="n">
        <v>16</v>
      </c>
      <c r="X5" s="24" t="n">
        <v>17</v>
      </c>
      <c r="Y5" s="24" t="n">
        <v>18</v>
      </c>
      <c r="Z5" s="24" t="n">
        <v>19</v>
      </c>
      <c r="AA5" s="24" t="n">
        <v>20</v>
      </c>
      <c r="AB5" s="24" t="n">
        <v>21</v>
      </c>
      <c r="AC5" s="24" t="n">
        <v>22</v>
      </c>
      <c r="AD5" s="24" t="n">
        <v>23</v>
      </c>
      <c r="AE5" s="24" t="n">
        <v>24</v>
      </c>
      <c r="AF5" s="24" t="n">
        <v>25</v>
      </c>
      <c r="AG5" s="24" t="n">
        <v>26</v>
      </c>
      <c r="AH5" s="24" t="n">
        <v>27</v>
      </c>
      <c r="AI5" s="24" t="n">
        <v>28</v>
      </c>
      <c r="AJ5" s="24" t="n">
        <v>29</v>
      </c>
      <c r="AK5" s="24" t="n">
        <v>30</v>
      </c>
      <c r="AL5" s="24" t="n">
        <v>31</v>
      </c>
      <c r="AM5" s="24" t="n">
        <v>32</v>
      </c>
      <c r="AN5" s="24" t="n">
        <v>33</v>
      </c>
      <c r="AO5" s="24" t="n">
        <v>34</v>
      </c>
      <c r="AP5" s="24" t="n">
        <v>35</v>
      </c>
      <c r="AQ5" s="24" t="n">
        <v>36</v>
      </c>
      <c r="AR5" s="24" t="n">
        <v>37</v>
      </c>
      <c r="AS5" s="24" t="n">
        <v>38</v>
      </c>
      <c r="AT5" s="24" t="n">
        <v>39</v>
      </c>
      <c r="AU5" s="24" t="n">
        <v>40</v>
      </c>
      <c r="AV5" s="24" t="n">
        <v>41</v>
      </c>
      <c r="AW5" s="24" t="n">
        <v>42</v>
      </c>
      <c r="AX5" s="24" t="n">
        <v>43</v>
      </c>
      <c r="AY5" s="24" t="n">
        <v>44</v>
      </c>
      <c r="AZ5" s="24" t="n">
        <v>45</v>
      </c>
      <c r="BA5" s="24" t="n">
        <v>46</v>
      </c>
      <c r="BB5" s="24" t="n">
        <v>47</v>
      </c>
      <c r="BC5" s="24" t="n">
        <v>48</v>
      </c>
      <c r="BD5" s="24" t="n">
        <v>49</v>
      </c>
      <c r="BE5" s="24" t="n">
        <v>50</v>
      </c>
      <c r="BF5" s="24" t="n">
        <v>51</v>
      </c>
      <c r="BG5" s="24" t="n">
        <v>52</v>
      </c>
      <c r="BH5" s="24" t="n">
        <v>53</v>
      </c>
      <c r="BI5" s="24" t="n">
        <v>54</v>
      </c>
      <c r="BJ5" s="24" t="n">
        <v>55</v>
      </c>
      <c r="BK5" s="24" t="n">
        <v>56</v>
      </c>
      <c r="BL5" s="24" t="n">
        <v>57</v>
      </c>
      <c r="BM5" s="24" t="n">
        <v>58</v>
      </c>
      <c r="BN5" s="24" t="n">
        <v>59</v>
      </c>
      <c r="BO5" s="24" t="n">
        <v>60</v>
      </c>
      <c r="BP5" s="24" t="n">
        <v>61</v>
      </c>
      <c r="BQ5" s="24" t="n">
        <v>62</v>
      </c>
      <c r="BR5" s="24" t="n">
        <v>63</v>
      </c>
      <c r="BS5" s="24" t="n">
        <v>64</v>
      </c>
      <c r="BT5" s="24" t="n">
        <v>65</v>
      </c>
      <c r="BU5" s="24" t="n">
        <v>66</v>
      </c>
      <c r="BV5" s="24" t="n">
        <v>67</v>
      </c>
      <c r="BW5" s="24" t="n">
        <v>68</v>
      </c>
      <c r="BX5" s="24" t="n">
        <v>69</v>
      </c>
      <c r="BY5" s="24" t="n">
        <v>70</v>
      </c>
      <c r="BZ5" s="24" t="n">
        <v>71</v>
      </c>
      <c r="CA5" s="24" t="n">
        <v>72</v>
      </c>
      <c r="CB5" s="24" t="n">
        <v>73</v>
      </c>
      <c r="CC5" s="24" t="n">
        <v>74</v>
      </c>
      <c r="CD5" s="24" t="n">
        <v>75</v>
      </c>
      <c r="CE5" s="24" t="n">
        <v>76</v>
      </c>
      <c r="CF5" s="24" t="n">
        <v>77</v>
      </c>
      <c r="CG5" s="24" t="n">
        <v>78</v>
      </c>
      <c r="CH5" s="24" t="n">
        <v>79</v>
      </c>
      <c r="CI5" s="24" t="n">
        <v>80</v>
      </c>
      <c r="CJ5" s="24" t="n">
        <v>81</v>
      </c>
      <c r="CK5" s="24" t="n">
        <v>82</v>
      </c>
      <c r="CL5" s="24" t="n">
        <v>83</v>
      </c>
      <c r="CM5" s="24" t="n">
        <v>84</v>
      </c>
      <c r="CN5" s="24" t="n">
        <v>85</v>
      </c>
      <c r="CO5" s="24" t="n">
        <v>86</v>
      </c>
      <c r="CP5" s="24" t="n">
        <v>87</v>
      </c>
      <c r="CQ5" s="24" t="n">
        <v>88</v>
      </c>
      <c r="CR5" s="24" t="n">
        <v>89</v>
      </c>
      <c r="CS5" s="24" t="n">
        <v>90</v>
      </c>
    </row>
    <row r="6" ht="26" customHeight="1">
      <c r="A6" s="25" t="inlineStr">
        <is>
          <t>Fila A — tarea en curso</t>
        </is>
      </c>
      <c r="H6" s="26">
        <f>IF(SUMPRODUCT(((Plan!$I$5:$I$76="A")+(Plan!$I$5:$I$76="A+B"))*(Plan!$K$5:$K$76&lt;H$5)*(Plan!$L$5:$L$76&gt;=H$5))=0,"",INDEX(Plan!$A$5:$A$76,SUMPRODUCT(((Plan!$I$5:$I$76="A")+(Plan!$I$5:$I$76="A+B"))*(Plan!$K$5:$K$76&lt;H$5)*(Plan!$L$5:$L$76&gt;=H$5)*(ROW(Plan!$A$5:$A$76)-4))))</f>
        <v/>
      </c>
      <c r="I6" s="26">
        <f>IF(SUMPRODUCT(((Plan!$I$5:$I$76="A")+(Plan!$I$5:$I$76="A+B"))*(Plan!$K$5:$K$76&lt;I$5)*(Plan!$L$5:$L$76&gt;=I$5))=0,"",INDEX(Plan!$A$5:$A$76,SUMPRODUCT(((Plan!$I$5:$I$76="A")+(Plan!$I$5:$I$76="A+B"))*(Plan!$K$5:$K$76&lt;I$5)*(Plan!$L$5:$L$76&gt;=I$5)*(ROW(Plan!$A$5:$A$76)-4))))</f>
        <v/>
      </c>
      <c r="J6" s="26">
        <f>IF(SUMPRODUCT(((Plan!$I$5:$I$76="A")+(Plan!$I$5:$I$76="A+B"))*(Plan!$K$5:$K$76&lt;J$5)*(Plan!$L$5:$L$76&gt;=J$5))=0,"",INDEX(Plan!$A$5:$A$76,SUMPRODUCT(((Plan!$I$5:$I$76="A")+(Plan!$I$5:$I$76="A+B"))*(Plan!$K$5:$K$76&lt;J$5)*(Plan!$L$5:$L$76&gt;=J$5)*(ROW(Plan!$A$5:$A$76)-4))))</f>
        <v/>
      </c>
      <c r="K6" s="26">
        <f>IF(SUMPRODUCT(((Plan!$I$5:$I$76="A")+(Plan!$I$5:$I$76="A+B"))*(Plan!$K$5:$K$76&lt;K$5)*(Plan!$L$5:$L$76&gt;=K$5))=0,"",INDEX(Plan!$A$5:$A$76,SUMPRODUCT(((Plan!$I$5:$I$76="A")+(Plan!$I$5:$I$76="A+B"))*(Plan!$K$5:$K$76&lt;K$5)*(Plan!$L$5:$L$76&gt;=K$5)*(ROW(Plan!$A$5:$A$76)-4))))</f>
        <v/>
      </c>
      <c r="L6" s="26">
        <f>IF(SUMPRODUCT(((Plan!$I$5:$I$76="A")+(Plan!$I$5:$I$76="A+B"))*(Plan!$K$5:$K$76&lt;L$5)*(Plan!$L$5:$L$76&gt;=L$5))=0,"",INDEX(Plan!$A$5:$A$76,SUMPRODUCT(((Plan!$I$5:$I$76="A")+(Plan!$I$5:$I$76="A+B"))*(Plan!$K$5:$K$76&lt;L$5)*(Plan!$L$5:$L$76&gt;=L$5)*(ROW(Plan!$A$5:$A$76)-4))))</f>
        <v/>
      </c>
      <c r="M6" s="26">
        <f>IF(SUMPRODUCT(((Plan!$I$5:$I$76="A")+(Plan!$I$5:$I$76="A+B"))*(Plan!$K$5:$K$76&lt;M$5)*(Plan!$L$5:$L$76&gt;=M$5))=0,"",INDEX(Plan!$A$5:$A$76,SUMPRODUCT(((Plan!$I$5:$I$76="A")+(Plan!$I$5:$I$76="A+B"))*(Plan!$K$5:$K$76&lt;M$5)*(Plan!$L$5:$L$76&gt;=M$5)*(ROW(Plan!$A$5:$A$76)-4))))</f>
        <v/>
      </c>
      <c r="N6" s="26">
        <f>IF(SUMPRODUCT(((Plan!$I$5:$I$76="A")+(Plan!$I$5:$I$76="A+B"))*(Plan!$K$5:$K$76&lt;N$5)*(Plan!$L$5:$L$76&gt;=N$5))=0,"",INDEX(Plan!$A$5:$A$76,SUMPRODUCT(((Plan!$I$5:$I$76="A")+(Plan!$I$5:$I$76="A+B"))*(Plan!$K$5:$K$76&lt;N$5)*(Plan!$L$5:$L$76&gt;=N$5)*(ROW(Plan!$A$5:$A$76)-4))))</f>
        <v/>
      </c>
      <c r="O6" s="26">
        <f>IF(SUMPRODUCT(((Plan!$I$5:$I$76="A")+(Plan!$I$5:$I$76="A+B"))*(Plan!$K$5:$K$76&lt;O$5)*(Plan!$L$5:$L$76&gt;=O$5))=0,"",INDEX(Plan!$A$5:$A$76,SUMPRODUCT(((Plan!$I$5:$I$76="A")+(Plan!$I$5:$I$76="A+B"))*(Plan!$K$5:$K$76&lt;O$5)*(Plan!$L$5:$L$76&gt;=O$5)*(ROW(Plan!$A$5:$A$76)-4))))</f>
        <v/>
      </c>
      <c r="P6" s="26">
        <f>IF(SUMPRODUCT(((Plan!$I$5:$I$76="A")+(Plan!$I$5:$I$76="A+B"))*(Plan!$K$5:$K$76&lt;P$5)*(Plan!$L$5:$L$76&gt;=P$5))=0,"",INDEX(Plan!$A$5:$A$76,SUMPRODUCT(((Plan!$I$5:$I$76="A")+(Plan!$I$5:$I$76="A+B"))*(Plan!$K$5:$K$76&lt;P$5)*(Plan!$L$5:$L$76&gt;=P$5)*(ROW(Plan!$A$5:$A$76)-4))))</f>
        <v/>
      </c>
      <c r="Q6" s="26">
        <f>IF(SUMPRODUCT(((Plan!$I$5:$I$76="A")+(Plan!$I$5:$I$76="A+B"))*(Plan!$K$5:$K$76&lt;Q$5)*(Plan!$L$5:$L$76&gt;=Q$5))=0,"",INDEX(Plan!$A$5:$A$76,SUMPRODUCT(((Plan!$I$5:$I$76="A")+(Plan!$I$5:$I$76="A+B"))*(Plan!$K$5:$K$76&lt;Q$5)*(Plan!$L$5:$L$76&gt;=Q$5)*(ROW(Plan!$A$5:$A$76)-4))))</f>
        <v/>
      </c>
      <c r="R6" s="26">
        <f>IF(SUMPRODUCT(((Plan!$I$5:$I$76="A")+(Plan!$I$5:$I$76="A+B"))*(Plan!$K$5:$K$76&lt;R$5)*(Plan!$L$5:$L$76&gt;=R$5))=0,"",INDEX(Plan!$A$5:$A$76,SUMPRODUCT(((Plan!$I$5:$I$76="A")+(Plan!$I$5:$I$76="A+B"))*(Plan!$K$5:$K$76&lt;R$5)*(Plan!$L$5:$L$76&gt;=R$5)*(ROW(Plan!$A$5:$A$76)-4))))</f>
        <v/>
      </c>
      <c r="S6" s="26">
        <f>IF(SUMPRODUCT(((Plan!$I$5:$I$76="A")+(Plan!$I$5:$I$76="A+B"))*(Plan!$K$5:$K$76&lt;S$5)*(Plan!$L$5:$L$76&gt;=S$5))=0,"",INDEX(Plan!$A$5:$A$76,SUMPRODUCT(((Plan!$I$5:$I$76="A")+(Plan!$I$5:$I$76="A+B"))*(Plan!$K$5:$K$76&lt;S$5)*(Plan!$L$5:$L$76&gt;=S$5)*(ROW(Plan!$A$5:$A$76)-4))))</f>
        <v/>
      </c>
      <c r="T6" s="26">
        <f>IF(SUMPRODUCT(((Plan!$I$5:$I$76="A")+(Plan!$I$5:$I$76="A+B"))*(Plan!$K$5:$K$76&lt;T$5)*(Plan!$L$5:$L$76&gt;=T$5))=0,"",INDEX(Plan!$A$5:$A$76,SUMPRODUCT(((Plan!$I$5:$I$76="A")+(Plan!$I$5:$I$76="A+B"))*(Plan!$K$5:$K$76&lt;T$5)*(Plan!$L$5:$L$76&gt;=T$5)*(ROW(Plan!$A$5:$A$76)-4))))</f>
        <v/>
      </c>
      <c r="U6" s="26">
        <f>IF(SUMPRODUCT(((Plan!$I$5:$I$76="A")+(Plan!$I$5:$I$76="A+B"))*(Plan!$K$5:$K$76&lt;U$5)*(Plan!$L$5:$L$76&gt;=U$5))=0,"",INDEX(Plan!$A$5:$A$76,SUMPRODUCT(((Plan!$I$5:$I$76="A")+(Plan!$I$5:$I$76="A+B"))*(Plan!$K$5:$K$76&lt;U$5)*(Plan!$L$5:$L$76&gt;=U$5)*(ROW(Plan!$A$5:$A$76)-4))))</f>
        <v/>
      </c>
      <c r="V6" s="26">
        <f>IF(SUMPRODUCT(((Plan!$I$5:$I$76="A")+(Plan!$I$5:$I$76="A+B"))*(Plan!$K$5:$K$76&lt;V$5)*(Plan!$L$5:$L$76&gt;=V$5))=0,"",INDEX(Plan!$A$5:$A$76,SUMPRODUCT(((Plan!$I$5:$I$76="A")+(Plan!$I$5:$I$76="A+B"))*(Plan!$K$5:$K$76&lt;V$5)*(Plan!$L$5:$L$76&gt;=V$5)*(ROW(Plan!$A$5:$A$76)-4))))</f>
        <v/>
      </c>
      <c r="W6" s="26">
        <f>IF(SUMPRODUCT(((Plan!$I$5:$I$76="A")+(Plan!$I$5:$I$76="A+B"))*(Plan!$K$5:$K$76&lt;W$5)*(Plan!$L$5:$L$76&gt;=W$5))=0,"",INDEX(Plan!$A$5:$A$76,SUMPRODUCT(((Plan!$I$5:$I$76="A")+(Plan!$I$5:$I$76="A+B"))*(Plan!$K$5:$K$76&lt;W$5)*(Plan!$L$5:$L$76&gt;=W$5)*(ROW(Plan!$A$5:$A$76)-4))))</f>
        <v/>
      </c>
      <c r="X6" s="26">
        <f>IF(SUMPRODUCT(((Plan!$I$5:$I$76="A")+(Plan!$I$5:$I$76="A+B"))*(Plan!$K$5:$K$76&lt;X$5)*(Plan!$L$5:$L$76&gt;=X$5))=0,"",INDEX(Plan!$A$5:$A$76,SUMPRODUCT(((Plan!$I$5:$I$76="A")+(Plan!$I$5:$I$76="A+B"))*(Plan!$K$5:$K$76&lt;X$5)*(Plan!$L$5:$L$76&gt;=X$5)*(ROW(Plan!$A$5:$A$76)-4))))</f>
        <v/>
      </c>
      <c r="Y6" s="26">
        <f>IF(SUMPRODUCT(((Plan!$I$5:$I$76="A")+(Plan!$I$5:$I$76="A+B"))*(Plan!$K$5:$K$76&lt;Y$5)*(Plan!$L$5:$L$76&gt;=Y$5))=0,"",INDEX(Plan!$A$5:$A$76,SUMPRODUCT(((Plan!$I$5:$I$76="A")+(Plan!$I$5:$I$76="A+B"))*(Plan!$K$5:$K$76&lt;Y$5)*(Plan!$L$5:$L$76&gt;=Y$5)*(ROW(Plan!$A$5:$A$76)-4))))</f>
        <v/>
      </c>
      <c r="Z6" s="26">
        <f>IF(SUMPRODUCT(((Plan!$I$5:$I$76="A")+(Plan!$I$5:$I$76="A+B"))*(Plan!$K$5:$K$76&lt;Z$5)*(Plan!$L$5:$L$76&gt;=Z$5))=0,"",INDEX(Plan!$A$5:$A$76,SUMPRODUCT(((Plan!$I$5:$I$76="A")+(Plan!$I$5:$I$76="A+B"))*(Plan!$K$5:$K$76&lt;Z$5)*(Plan!$L$5:$L$76&gt;=Z$5)*(ROW(Plan!$A$5:$A$76)-4))))</f>
        <v/>
      </c>
      <c r="AA6" s="26">
        <f>IF(SUMPRODUCT(((Plan!$I$5:$I$76="A")+(Plan!$I$5:$I$76="A+B"))*(Plan!$K$5:$K$76&lt;AA$5)*(Plan!$L$5:$L$76&gt;=AA$5))=0,"",INDEX(Plan!$A$5:$A$76,SUMPRODUCT(((Plan!$I$5:$I$76="A")+(Plan!$I$5:$I$76="A+B"))*(Plan!$K$5:$K$76&lt;AA$5)*(Plan!$L$5:$L$76&gt;=AA$5)*(ROW(Plan!$A$5:$A$76)-4))))</f>
        <v/>
      </c>
      <c r="AB6" s="26">
        <f>IF(SUMPRODUCT(((Plan!$I$5:$I$76="A")+(Plan!$I$5:$I$76="A+B"))*(Plan!$K$5:$K$76&lt;AB$5)*(Plan!$L$5:$L$76&gt;=AB$5))=0,"",INDEX(Plan!$A$5:$A$76,SUMPRODUCT(((Plan!$I$5:$I$76="A")+(Plan!$I$5:$I$76="A+B"))*(Plan!$K$5:$K$76&lt;AB$5)*(Plan!$L$5:$L$76&gt;=AB$5)*(ROW(Plan!$A$5:$A$76)-4))))</f>
        <v/>
      </c>
      <c r="AC6" s="26">
        <f>IF(SUMPRODUCT(((Plan!$I$5:$I$76="A")+(Plan!$I$5:$I$76="A+B"))*(Plan!$K$5:$K$76&lt;AC$5)*(Plan!$L$5:$L$76&gt;=AC$5))=0,"",INDEX(Plan!$A$5:$A$76,SUMPRODUCT(((Plan!$I$5:$I$76="A")+(Plan!$I$5:$I$76="A+B"))*(Plan!$K$5:$K$76&lt;AC$5)*(Plan!$L$5:$L$76&gt;=AC$5)*(ROW(Plan!$A$5:$A$76)-4))))</f>
        <v/>
      </c>
      <c r="AD6" s="26">
        <f>IF(SUMPRODUCT(((Plan!$I$5:$I$76="A")+(Plan!$I$5:$I$76="A+B"))*(Plan!$K$5:$K$76&lt;AD$5)*(Plan!$L$5:$L$76&gt;=AD$5))=0,"",INDEX(Plan!$A$5:$A$76,SUMPRODUCT(((Plan!$I$5:$I$76="A")+(Plan!$I$5:$I$76="A+B"))*(Plan!$K$5:$K$76&lt;AD$5)*(Plan!$L$5:$L$76&gt;=AD$5)*(ROW(Plan!$A$5:$A$76)-4))))</f>
        <v/>
      </c>
      <c r="AE6" s="26">
        <f>IF(SUMPRODUCT(((Plan!$I$5:$I$76="A")+(Plan!$I$5:$I$76="A+B"))*(Plan!$K$5:$K$76&lt;AE$5)*(Plan!$L$5:$L$76&gt;=AE$5))=0,"",INDEX(Plan!$A$5:$A$76,SUMPRODUCT(((Plan!$I$5:$I$76="A")+(Plan!$I$5:$I$76="A+B"))*(Plan!$K$5:$K$76&lt;AE$5)*(Plan!$L$5:$L$76&gt;=AE$5)*(ROW(Plan!$A$5:$A$76)-4))))</f>
        <v/>
      </c>
      <c r="AF6" s="26">
        <f>IF(SUMPRODUCT(((Plan!$I$5:$I$76="A")+(Plan!$I$5:$I$76="A+B"))*(Plan!$K$5:$K$76&lt;AF$5)*(Plan!$L$5:$L$76&gt;=AF$5))=0,"",INDEX(Plan!$A$5:$A$76,SUMPRODUCT(((Plan!$I$5:$I$76="A")+(Plan!$I$5:$I$76="A+B"))*(Plan!$K$5:$K$76&lt;AF$5)*(Plan!$L$5:$L$76&gt;=AF$5)*(ROW(Plan!$A$5:$A$76)-4))))</f>
        <v/>
      </c>
      <c r="AG6" s="26">
        <f>IF(SUMPRODUCT(((Plan!$I$5:$I$76="A")+(Plan!$I$5:$I$76="A+B"))*(Plan!$K$5:$K$76&lt;AG$5)*(Plan!$L$5:$L$76&gt;=AG$5))=0,"",INDEX(Plan!$A$5:$A$76,SUMPRODUCT(((Plan!$I$5:$I$76="A")+(Plan!$I$5:$I$76="A+B"))*(Plan!$K$5:$K$76&lt;AG$5)*(Plan!$L$5:$L$76&gt;=AG$5)*(ROW(Plan!$A$5:$A$76)-4))))</f>
        <v/>
      </c>
      <c r="AH6" s="26">
        <f>IF(SUMPRODUCT(((Plan!$I$5:$I$76="A")+(Plan!$I$5:$I$76="A+B"))*(Plan!$K$5:$K$76&lt;AH$5)*(Plan!$L$5:$L$76&gt;=AH$5))=0,"",INDEX(Plan!$A$5:$A$76,SUMPRODUCT(((Plan!$I$5:$I$76="A")+(Plan!$I$5:$I$76="A+B"))*(Plan!$K$5:$K$76&lt;AH$5)*(Plan!$L$5:$L$76&gt;=AH$5)*(ROW(Plan!$A$5:$A$76)-4))))</f>
        <v/>
      </c>
      <c r="AI6" s="26">
        <f>IF(SUMPRODUCT(((Plan!$I$5:$I$76="A")+(Plan!$I$5:$I$76="A+B"))*(Plan!$K$5:$K$76&lt;AI$5)*(Plan!$L$5:$L$76&gt;=AI$5))=0,"",INDEX(Plan!$A$5:$A$76,SUMPRODUCT(((Plan!$I$5:$I$76="A")+(Plan!$I$5:$I$76="A+B"))*(Plan!$K$5:$K$76&lt;AI$5)*(Plan!$L$5:$L$76&gt;=AI$5)*(ROW(Plan!$A$5:$A$76)-4))))</f>
        <v/>
      </c>
      <c r="AJ6" s="26">
        <f>IF(SUMPRODUCT(((Plan!$I$5:$I$76="A")+(Plan!$I$5:$I$76="A+B"))*(Plan!$K$5:$K$76&lt;AJ$5)*(Plan!$L$5:$L$76&gt;=AJ$5))=0,"",INDEX(Plan!$A$5:$A$76,SUMPRODUCT(((Plan!$I$5:$I$76="A")+(Plan!$I$5:$I$76="A+B"))*(Plan!$K$5:$K$76&lt;AJ$5)*(Plan!$L$5:$L$76&gt;=AJ$5)*(ROW(Plan!$A$5:$A$76)-4))))</f>
        <v/>
      </c>
      <c r="AK6" s="26">
        <f>IF(SUMPRODUCT(((Plan!$I$5:$I$76="A")+(Plan!$I$5:$I$76="A+B"))*(Plan!$K$5:$K$76&lt;AK$5)*(Plan!$L$5:$L$76&gt;=AK$5))=0,"",INDEX(Plan!$A$5:$A$76,SUMPRODUCT(((Plan!$I$5:$I$76="A")+(Plan!$I$5:$I$76="A+B"))*(Plan!$K$5:$K$76&lt;AK$5)*(Plan!$L$5:$L$76&gt;=AK$5)*(ROW(Plan!$A$5:$A$76)-4))))</f>
        <v/>
      </c>
      <c r="AL6" s="26">
        <f>IF(SUMPRODUCT(((Plan!$I$5:$I$76="A")+(Plan!$I$5:$I$76="A+B"))*(Plan!$K$5:$K$76&lt;AL$5)*(Plan!$L$5:$L$76&gt;=AL$5))=0,"",INDEX(Plan!$A$5:$A$76,SUMPRODUCT(((Plan!$I$5:$I$76="A")+(Plan!$I$5:$I$76="A+B"))*(Plan!$K$5:$K$76&lt;AL$5)*(Plan!$L$5:$L$76&gt;=AL$5)*(ROW(Plan!$A$5:$A$76)-4))))</f>
        <v/>
      </c>
      <c r="AM6" s="26">
        <f>IF(SUMPRODUCT(((Plan!$I$5:$I$76="A")+(Plan!$I$5:$I$76="A+B"))*(Plan!$K$5:$K$76&lt;AM$5)*(Plan!$L$5:$L$76&gt;=AM$5))=0,"",INDEX(Plan!$A$5:$A$76,SUMPRODUCT(((Plan!$I$5:$I$76="A")+(Plan!$I$5:$I$76="A+B"))*(Plan!$K$5:$K$76&lt;AM$5)*(Plan!$L$5:$L$76&gt;=AM$5)*(ROW(Plan!$A$5:$A$76)-4))))</f>
        <v/>
      </c>
      <c r="AN6" s="26">
        <f>IF(SUMPRODUCT(((Plan!$I$5:$I$76="A")+(Plan!$I$5:$I$76="A+B"))*(Plan!$K$5:$K$76&lt;AN$5)*(Plan!$L$5:$L$76&gt;=AN$5))=0,"",INDEX(Plan!$A$5:$A$76,SUMPRODUCT(((Plan!$I$5:$I$76="A")+(Plan!$I$5:$I$76="A+B"))*(Plan!$K$5:$K$76&lt;AN$5)*(Plan!$L$5:$L$76&gt;=AN$5)*(ROW(Plan!$A$5:$A$76)-4))))</f>
        <v/>
      </c>
      <c r="AO6" s="26">
        <f>IF(SUMPRODUCT(((Plan!$I$5:$I$76="A")+(Plan!$I$5:$I$76="A+B"))*(Plan!$K$5:$K$76&lt;AO$5)*(Plan!$L$5:$L$76&gt;=AO$5))=0,"",INDEX(Plan!$A$5:$A$76,SUMPRODUCT(((Plan!$I$5:$I$76="A")+(Plan!$I$5:$I$76="A+B"))*(Plan!$K$5:$K$76&lt;AO$5)*(Plan!$L$5:$L$76&gt;=AO$5)*(ROW(Plan!$A$5:$A$76)-4))))</f>
        <v/>
      </c>
      <c r="AP6" s="26">
        <f>IF(SUMPRODUCT(((Plan!$I$5:$I$76="A")+(Plan!$I$5:$I$76="A+B"))*(Plan!$K$5:$K$76&lt;AP$5)*(Plan!$L$5:$L$76&gt;=AP$5))=0,"",INDEX(Plan!$A$5:$A$76,SUMPRODUCT(((Plan!$I$5:$I$76="A")+(Plan!$I$5:$I$76="A+B"))*(Plan!$K$5:$K$76&lt;AP$5)*(Plan!$L$5:$L$76&gt;=AP$5)*(ROW(Plan!$A$5:$A$76)-4))))</f>
        <v/>
      </c>
      <c r="AQ6" s="26">
        <f>IF(SUMPRODUCT(((Plan!$I$5:$I$76="A")+(Plan!$I$5:$I$76="A+B"))*(Plan!$K$5:$K$76&lt;AQ$5)*(Plan!$L$5:$L$76&gt;=AQ$5))=0,"",INDEX(Plan!$A$5:$A$76,SUMPRODUCT(((Plan!$I$5:$I$76="A")+(Plan!$I$5:$I$76="A+B"))*(Plan!$K$5:$K$76&lt;AQ$5)*(Plan!$L$5:$L$76&gt;=AQ$5)*(ROW(Plan!$A$5:$A$76)-4))))</f>
        <v/>
      </c>
      <c r="AR6" s="26">
        <f>IF(SUMPRODUCT(((Plan!$I$5:$I$76="A")+(Plan!$I$5:$I$76="A+B"))*(Plan!$K$5:$K$76&lt;AR$5)*(Plan!$L$5:$L$76&gt;=AR$5))=0,"",INDEX(Plan!$A$5:$A$76,SUMPRODUCT(((Plan!$I$5:$I$76="A")+(Plan!$I$5:$I$76="A+B"))*(Plan!$K$5:$K$76&lt;AR$5)*(Plan!$L$5:$L$76&gt;=AR$5)*(ROW(Plan!$A$5:$A$76)-4))))</f>
        <v/>
      </c>
      <c r="AS6" s="26">
        <f>IF(SUMPRODUCT(((Plan!$I$5:$I$76="A")+(Plan!$I$5:$I$76="A+B"))*(Plan!$K$5:$K$76&lt;AS$5)*(Plan!$L$5:$L$76&gt;=AS$5))=0,"",INDEX(Plan!$A$5:$A$76,SUMPRODUCT(((Plan!$I$5:$I$76="A")+(Plan!$I$5:$I$76="A+B"))*(Plan!$K$5:$K$76&lt;AS$5)*(Plan!$L$5:$L$76&gt;=AS$5)*(ROW(Plan!$A$5:$A$76)-4))))</f>
        <v/>
      </c>
      <c r="AT6" s="26">
        <f>IF(SUMPRODUCT(((Plan!$I$5:$I$76="A")+(Plan!$I$5:$I$76="A+B"))*(Plan!$K$5:$K$76&lt;AT$5)*(Plan!$L$5:$L$76&gt;=AT$5))=0,"",INDEX(Plan!$A$5:$A$76,SUMPRODUCT(((Plan!$I$5:$I$76="A")+(Plan!$I$5:$I$76="A+B"))*(Plan!$K$5:$K$76&lt;AT$5)*(Plan!$L$5:$L$76&gt;=AT$5)*(ROW(Plan!$A$5:$A$76)-4))))</f>
        <v/>
      </c>
      <c r="AU6" s="26">
        <f>IF(SUMPRODUCT(((Plan!$I$5:$I$76="A")+(Plan!$I$5:$I$76="A+B"))*(Plan!$K$5:$K$76&lt;AU$5)*(Plan!$L$5:$L$76&gt;=AU$5))=0,"",INDEX(Plan!$A$5:$A$76,SUMPRODUCT(((Plan!$I$5:$I$76="A")+(Plan!$I$5:$I$76="A+B"))*(Plan!$K$5:$K$76&lt;AU$5)*(Plan!$L$5:$L$76&gt;=AU$5)*(ROW(Plan!$A$5:$A$76)-4))))</f>
        <v/>
      </c>
      <c r="AV6" s="26">
        <f>IF(SUMPRODUCT(((Plan!$I$5:$I$76="A")+(Plan!$I$5:$I$76="A+B"))*(Plan!$K$5:$K$76&lt;AV$5)*(Plan!$L$5:$L$76&gt;=AV$5))=0,"",INDEX(Plan!$A$5:$A$76,SUMPRODUCT(((Plan!$I$5:$I$76="A")+(Plan!$I$5:$I$76="A+B"))*(Plan!$K$5:$K$76&lt;AV$5)*(Plan!$L$5:$L$76&gt;=AV$5)*(ROW(Plan!$A$5:$A$76)-4))))</f>
        <v/>
      </c>
      <c r="AW6" s="26">
        <f>IF(SUMPRODUCT(((Plan!$I$5:$I$76="A")+(Plan!$I$5:$I$76="A+B"))*(Plan!$K$5:$K$76&lt;AW$5)*(Plan!$L$5:$L$76&gt;=AW$5))=0,"",INDEX(Plan!$A$5:$A$76,SUMPRODUCT(((Plan!$I$5:$I$76="A")+(Plan!$I$5:$I$76="A+B"))*(Plan!$K$5:$K$76&lt;AW$5)*(Plan!$L$5:$L$76&gt;=AW$5)*(ROW(Plan!$A$5:$A$76)-4))))</f>
        <v/>
      </c>
      <c r="AX6" s="26">
        <f>IF(SUMPRODUCT(((Plan!$I$5:$I$76="A")+(Plan!$I$5:$I$76="A+B"))*(Plan!$K$5:$K$76&lt;AX$5)*(Plan!$L$5:$L$76&gt;=AX$5))=0,"",INDEX(Plan!$A$5:$A$76,SUMPRODUCT(((Plan!$I$5:$I$76="A")+(Plan!$I$5:$I$76="A+B"))*(Plan!$K$5:$K$76&lt;AX$5)*(Plan!$L$5:$L$76&gt;=AX$5)*(ROW(Plan!$A$5:$A$76)-4))))</f>
        <v/>
      </c>
      <c r="AY6" s="26">
        <f>IF(SUMPRODUCT(((Plan!$I$5:$I$76="A")+(Plan!$I$5:$I$76="A+B"))*(Plan!$K$5:$K$76&lt;AY$5)*(Plan!$L$5:$L$76&gt;=AY$5))=0,"",INDEX(Plan!$A$5:$A$76,SUMPRODUCT(((Plan!$I$5:$I$76="A")+(Plan!$I$5:$I$76="A+B"))*(Plan!$K$5:$K$76&lt;AY$5)*(Plan!$L$5:$L$76&gt;=AY$5)*(ROW(Plan!$A$5:$A$76)-4))))</f>
        <v/>
      </c>
      <c r="AZ6" s="26">
        <f>IF(SUMPRODUCT(((Plan!$I$5:$I$76="A")+(Plan!$I$5:$I$76="A+B"))*(Plan!$K$5:$K$76&lt;AZ$5)*(Plan!$L$5:$L$76&gt;=AZ$5))=0,"",INDEX(Plan!$A$5:$A$76,SUMPRODUCT(((Plan!$I$5:$I$76="A")+(Plan!$I$5:$I$76="A+B"))*(Plan!$K$5:$K$76&lt;AZ$5)*(Plan!$L$5:$L$76&gt;=AZ$5)*(ROW(Plan!$A$5:$A$76)-4))))</f>
        <v/>
      </c>
      <c r="BA6" s="26">
        <f>IF(SUMPRODUCT(((Plan!$I$5:$I$76="A")+(Plan!$I$5:$I$76="A+B"))*(Plan!$K$5:$K$76&lt;BA$5)*(Plan!$L$5:$L$76&gt;=BA$5))=0,"",INDEX(Plan!$A$5:$A$76,SUMPRODUCT(((Plan!$I$5:$I$76="A")+(Plan!$I$5:$I$76="A+B"))*(Plan!$K$5:$K$76&lt;BA$5)*(Plan!$L$5:$L$76&gt;=BA$5)*(ROW(Plan!$A$5:$A$76)-4))))</f>
        <v/>
      </c>
      <c r="BB6" s="26">
        <f>IF(SUMPRODUCT(((Plan!$I$5:$I$76="A")+(Plan!$I$5:$I$76="A+B"))*(Plan!$K$5:$K$76&lt;BB$5)*(Plan!$L$5:$L$76&gt;=BB$5))=0,"",INDEX(Plan!$A$5:$A$76,SUMPRODUCT(((Plan!$I$5:$I$76="A")+(Plan!$I$5:$I$76="A+B"))*(Plan!$K$5:$K$76&lt;BB$5)*(Plan!$L$5:$L$76&gt;=BB$5)*(ROW(Plan!$A$5:$A$76)-4))))</f>
        <v/>
      </c>
      <c r="BC6" s="26">
        <f>IF(SUMPRODUCT(((Plan!$I$5:$I$76="A")+(Plan!$I$5:$I$76="A+B"))*(Plan!$K$5:$K$76&lt;BC$5)*(Plan!$L$5:$L$76&gt;=BC$5))=0,"",INDEX(Plan!$A$5:$A$76,SUMPRODUCT(((Plan!$I$5:$I$76="A")+(Plan!$I$5:$I$76="A+B"))*(Plan!$K$5:$K$76&lt;BC$5)*(Plan!$L$5:$L$76&gt;=BC$5)*(ROW(Plan!$A$5:$A$76)-4))))</f>
        <v/>
      </c>
      <c r="BD6" s="26">
        <f>IF(SUMPRODUCT(((Plan!$I$5:$I$76="A")+(Plan!$I$5:$I$76="A+B"))*(Plan!$K$5:$K$76&lt;BD$5)*(Plan!$L$5:$L$76&gt;=BD$5))=0,"",INDEX(Plan!$A$5:$A$76,SUMPRODUCT(((Plan!$I$5:$I$76="A")+(Plan!$I$5:$I$76="A+B"))*(Plan!$K$5:$K$76&lt;BD$5)*(Plan!$L$5:$L$76&gt;=BD$5)*(ROW(Plan!$A$5:$A$76)-4))))</f>
        <v/>
      </c>
      <c r="BE6" s="26">
        <f>IF(SUMPRODUCT(((Plan!$I$5:$I$76="A")+(Plan!$I$5:$I$76="A+B"))*(Plan!$K$5:$K$76&lt;BE$5)*(Plan!$L$5:$L$76&gt;=BE$5))=0,"",INDEX(Plan!$A$5:$A$76,SUMPRODUCT(((Plan!$I$5:$I$76="A")+(Plan!$I$5:$I$76="A+B"))*(Plan!$K$5:$K$76&lt;BE$5)*(Plan!$L$5:$L$76&gt;=BE$5)*(ROW(Plan!$A$5:$A$76)-4))))</f>
        <v/>
      </c>
      <c r="BF6" s="26">
        <f>IF(SUMPRODUCT(((Plan!$I$5:$I$76="A")+(Plan!$I$5:$I$76="A+B"))*(Plan!$K$5:$K$76&lt;BF$5)*(Plan!$L$5:$L$76&gt;=BF$5))=0,"",INDEX(Plan!$A$5:$A$76,SUMPRODUCT(((Plan!$I$5:$I$76="A")+(Plan!$I$5:$I$76="A+B"))*(Plan!$K$5:$K$76&lt;BF$5)*(Plan!$L$5:$L$76&gt;=BF$5)*(ROW(Plan!$A$5:$A$76)-4))))</f>
        <v/>
      </c>
      <c r="BG6" s="26">
        <f>IF(SUMPRODUCT(((Plan!$I$5:$I$76="A")+(Plan!$I$5:$I$76="A+B"))*(Plan!$K$5:$K$76&lt;BG$5)*(Plan!$L$5:$L$76&gt;=BG$5))=0,"",INDEX(Plan!$A$5:$A$76,SUMPRODUCT(((Plan!$I$5:$I$76="A")+(Plan!$I$5:$I$76="A+B"))*(Plan!$K$5:$K$76&lt;BG$5)*(Plan!$L$5:$L$76&gt;=BG$5)*(ROW(Plan!$A$5:$A$76)-4))))</f>
        <v/>
      </c>
      <c r="BH6" s="26">
        <f>IF(SUMPRODUCT(((Plan!$I$5:$I$76="A")+(Plan!$I$5:$I$76="A+B"))*(Plan!$K$5:$K$76&lt;BH$5)*(Plan!$L$5:$L$76&gt;=BH$5))=0,"",INDEX(Plan!$A$5:$A$76,SUMPRODUCT(((Plan!$I$5:$I$76="A")+(Plan!$I$5:$I$76="A+B"))*(Plan!$K$5:$K$76&lt;BH$5)*(Plan!$L$5:$L$76&gt;=BH$5)*(ROW(Plan!$A$5:$A$76)-4))))</f>
        <v/>
      </c>
      <c r="BI6" s="26">
        <f>IF(SUMPRODUCT(((Plan!$I$5:$I$76="A")+(Plan!$I$5:$I$76="A+B"))*(Plan!$K$5:$K$76&lt;BI$5)*(Plan!$L$5:$L$76&gt;=BI$5))=0,"",INDEX(Plan!$A$5:$A$76,SUMPRODUCT(((Plan!$I$5:$I$76="A")+(Plan!$I$5:$I$76="A+B"))*(Plan!$K$5:$K$76&lt;BI$5)*(Plan!$L$5:$L$76&gt;=BI$5)*(ROW(Plan!$A$5:$A$76)-4))))</f>
        <v/>
      </c>
      <c r="BJ6" s="26">
        <f>IF(SUMPRODUCT(((Plan!$I$5:$I$76="A")+(Plan!$I$5:$I$76="A+B"))*(Plan!$K$5:$K$76&lt;BJ$5)*(Plan!$L$5:$L$76&gt;=BJ$5))=0,"",INDEX(Plan!$A$5:$A$76,SUMPRODUCT(((Plan!$I$5:$I$76="A")+(Plan!$I$5:$I$76="A+B"))*(Plan!$K$5:$K$76&lt;BJ$5)*(Plan!$L$5:$L$76&gt;=BJ$5)*(ROW(Plan!$A$5:$A$76)-4))))</f>
        <v/>
      </c>
      <c r="BK6" s="26">
        <f>IF(SUMPRODUCT(((Plan!$I$5:$I$76="A")+(Plan!$I$5:$I$76="A+B"))*(Plan!$K$5:$K$76&lt;BK$5)*(Plan!$L$5:$L$76&gt;=BK$5))=0,"",INDEX(Plan!$A$5:$A$76,SUMPRODUCT(((Plan!$I$5:$I$76="A")+(Plan!$I$5:$I$76="A+B"))*(Plan!$K$5:$K$76&lt;BK$5)*(Plan!$L$5:$L$76&gt;=BK$5)*(ROW(Plan!$A$5:$A$76)-4))))</f>
        <v/>
      </c>
      <c r="BL6" s="26">
        <f>IF(SUMPRODUCT(((Plan!$I$5:$I$76="A")+(Plan!$I$5:$I$76="A+B"))*(Plan!$K$5:$K$76&lt;BL$5)*(Plan!$L$5:$L$76&gt;=BL$5))=0,"",INDEX(Plan!$A$5:$A$76,SUMPRODUCT(((Plan!$I$5:$I$76="A")+(Plan!$I$5:$I$76="A+B"))*(Plan!$K$5:$K$76&lt;BL$5)*(Plan!$L$5:$L$76&gt;=BL$5)*(ROW(Plan!$A$5:$A$76)-4))))</f>
        <v/>
      </c>
      <c r="BM6" s="26">
        <f>IF(SUMPRODUCT(((Plan!$I$5:$I$76="A")+(Plan!$I$5:$I$76="A+B"))*(Plan!$K$5:$K$76&lt;BM$5)*(Plan!$L$5:$L$76&gt;=BM$5))=0,"",INDEX(Plan!$A$5:$A$76,SUMPRODUCT(((Plan!$I$5:$I$76="A")+(Plan!$I$5:$I$76="A+B"))*(Plan!$K$5:$K$76&lt;BM$5)*(Plan!$L$5:$L$76&gt;=BM$5)*(ROW(Plan!$A$5:$A$76)-4))))</f>
        <v/>
      </c>
      <c r="BN6" s="26">
        <f>IF(SUMPRODUCT(((Plan!$I$5:$I$76="A")+(Plan!$I$5:$I$76="A+B"))*(Plan!$K$5:$K$76&lt;BN$5)*(Plan!$L$5:$L$76&gt;=BN$5))=0,"",INDEX(Plan!$A$5:$A$76,SUMPRODUCT(((Plan!$I$5:$I$76="A")+(Plan!$I$5:$I$76="A+B"))*(Plan!$K$5:$K$76&lt;BN$5)*(Plan!$L$5:$L$76&gt;=BN$5)*(ROW(Plan!$A$5:$A$76)-4))))</f>
        <v/>
      </c>
      <c r="BO6" s="26">
        <f>IF(SUMPRODUCT(((Plan!$I$5:$I$76="A")+(Plan!$I$5:$I$76="A+B"))*(Plan!$K$5:$K$76&lt;BO$5)*(Plan!$L$5:$L$76&gt;=BO$5))=0,"",INDEX(Plan!$A$5:$A$76,SUMPRODUCT(((Plan!$I$5:$I$76="A")+(Plan!$I$5:$I$76="A+B"))*(Plan!$K$5:$K$76&lt;BO$5)*(Plan!$L$5:$L$76&gt;=BO$5)*(ROW(Plan!$A$5:$A$76)-4))))</f>
        <v/>
      </c>
      <c r="BP6" s="26">
        <f>IF(SUMPRODUCT(((Plan!$I$5:$I$76="A")+(Plan!$I$5:$I$76="A+B"))*(Plan!$K$5:$K$76&lt;BP$5)*(Plan!$L$5:$L$76&gt;=BP$5))=0,"",INDEX(Plan!$A$5:$A$76,SUMPRODUCT(((Plan!$I$5:$I$76="A")+(Plan!$I$5:$I$76="A+B"))*(Plan!$K$5:$K$76&lt;BP$5)*(Plan!$L$5:$L$76&gt;=BP$5)*(ROW(Plan!$A$5:$A$76)-4))))</f>
        <v/>
      </c>
      <c r="BQ6" s="26">
        <f>IF(SUMPRODUCT(((Plan!$I$5:$I$76="A")+(Plan!$I$5:$I$76="A+B"))*(Plan!$K$5:$K$76&lt;BQ$5)*(Plan!$L$5:$L$76&gt;=BQ$5))=0,"",INDEX(Plan!$A$5:$A$76,SUMPRODUCT(((Plan!$I$5:$I$76="A")+(Plan!$I$5:$I$76="A+B"))*(Plan!$K$5:$K$76&lt;BQ$5)*(Plan!$L$5:$L$76&gt;=BQ$5)*(ROW(Plan!$A$5:$A$76)-4))))</f>
        <v/>
      </c>
      <c r="BR6" s="26">
        <f>IF(SUMPRODUCT(((Plan!$I$5:$I$76="A")+(Plan!$I$5:$I$76="A+B"))*(Plan!$K$5:$K$76&lt;BR$5)*(Plan!$L$5:$L$76&gt;=BR$5))=0,"",INDEX(Plan!$A$5:$A$76,SUMPRODUCT(((Plan!$I$5:$I$76="A")+(Plan!$I$5:$I$76="A+B"))*(Plan!$K$5:$K$76&lt;BR$5)*(Plan!$L$5:$L$76&gt;=BR$5)*(ROW(Plan!$A$5:$A$76)-4))))</f>
        <v/>
      </c>
      <c r="BS6" s="26">
        <f>IF(SUMPRODUCT(((Plan!$I$5:$I$76="A")+(Plan!$I$5:$I$76="A+B"))*(Plan!$K$5:$K$76&lt;BS$5)*(Plan!$L$5:$L$76&gt;=BS$5))=0,"",INDEX(Plan!$A$5:$A$76,SUMPRODUCT(((Plan!$I$5:$I$76="A")+(Plan!$I$5:$I$76="A+B"))*(Plan!$K$5:$K$76&lt;BS$5)*(Plan!$L$5:$L$76&gt;=BS$5)*(ROW(Plan!$A$5:$A$76)-4))))</f>
        <v/>
      </c>
      <c r="BT6" s="26">
        <f>IF(SUMPRODUCT(((Plan!$I$5:$I$76="A")+(Plan!$I$5:$I$76="A+B"))*(Plan!$K$5:$K$76&lt;BT$5)*(Plan!$L$5:$L$76&gt;=BT$5))=0,"",INDEX(Plan!$A$5:$A$76,SUMPRODUCT(((Plan!$I$5:$I$76="A")+(Plan!$I$5:$I$76="A+B"))*(Plan!$K$5:$K$76&lt;BT$5)*(Plan!$L$5:$L$76&gt;=BT$5)*(ROW(Plan!$A$5:$A$76)-4))))</f>
        <v/>
      </c>
      <c r="BU6" s="26">
        <f>IF(SUMPRODUCT(((Plan!$I$5:$I$76="A")+(Plan!$I$5:$I$76="A+B"))*(Plan!$K$5:$K$76&lt;BU$5)*(Plan!$L$5:$L$76&gt;=BU$5))=0,"",INDEX(Plan!$A$5:$A$76,SUMPRODUCT(((Plan!$I$5:$I$76="A")+(Plan!$I$5:$I$76="A+B"))*(Plan!$K$5:$K$76&lt;BU$5)*(Plan!$L$5:$L$76&gt;=BU$5)*(ROW(Plan!$A$5:$A$76)-4))))</f>
        <v/>
      </c>
      <c r="BV6" s="26">
        <f>IF(SUMPRODUCT(((Plan!$I$5:$I$76="A")+(Plan!$I$5:$I$76="A+B"))*(Plan!$K$5:$K$76&lt;BV$5)*(Plan!$L$5:$L$76&gt;=BV$5))=0,"",INDEX(Plan!$A$5:$A$76,SUMPRODUCT(((Plan!$I$5:$I$76="A")+(Plan!$I$5:$I$76="A+B"))*(Plan!$K$5:$K$76&lt;BV$5)*(Plan!$L$5:$L$76&gt;=BV$5)*(ROW(Plan!$A$5:$A$76)-4))))</f>
        <v/>
      </c>
      <c r="BW6" s="26">
        <f>IF(SUMPRODUCT(((Plan!$I$5:$I$76="A")+(Plan!$I$5:$I$76="A+B"))*(Plan!$K$5:$K$76&lt;BW$5)*(Plan!$L$5:$L$76&gt;=BW$5))=0,"",INDEX(Plan!$A$5:$A$76,SUMPRODUCT(((Plan!$I$5:$I$76="A")+(Plan!$I$5:$I$76="A+B"))*(Plan!$K$5:$K$76&lt;BW$5)*(Plan!$L$5:$L$76&gt;=BW$5)*(ROW(Plan!$A$5:$A$76)-4))))</f>
        <v/>
      </c>
      <c r="BX6" s="26">
        <f>IF(SUMPRODUCT(((Plan!$I$5:$I$76="A")+(Plan!$I$5:$I$76="A+B"))*(Plan!$K$5:$K$76&lt;BX$5)*(Plan!$L$5:$L$76&gt;=BX$5))=0,"",INDEX(Plan!$A$5:$A$76,SUMPRODUCT(((Plan!$I$5:$I$76="A")+(Plan!$I$5:$I$76="A+B"))*(Plan!$K$5:$K$76&lt;BX$5)*(Plan!$L$5:$L$76&gt;=BX$5)*(ROW(Plan!$A$5:$A$76)-4))))</f>
        <v/>
      </c>
      <c r="BY6" s="26">
        <f>IF(SUMPRODUCT(((Plan!$I$5:$I$76="A")+(Plan!$I$5:$I$76="A+B"))*(Plan!$K$5:$K$76&lt;BY$5)*(Plan!$L$5:$L$76&gt;=BY$5))=0,"",INDEX(Plan!$A$5:$A$76,SUMPRODUCT(((Plan!$I$5:$I$76="A")+(Plan!$I$5:$I$76="A+B"))*(Plan!$K$5:$K$76&lt;BY$5)*(Plan!$L$5:$L$76&gt;=BY$5)*(ROW(Plan!$A$5:$A$76)-4))))</f>
        <v/>
      </c>
      <c r="BZ6" s="26">
        <f>IF(SUMPRODUCT(((Plan!$I$5:$I$76="A")+(Plan!$I$5:$I$76="A+B"))*(Plan!$K$5:$K$76&lt;BZ$5)*(Plan!$L$5:$L$76&gt;=BZ$5))=0,"",INDEX(Plan!$A$5:$A$76,SUMPRODUCT(((Plan!$I$5:$I$76="A")+(Plan!$I$5:$I$76="A+B"))*(Plan!$K$5:$K$76&lt;BZ$5)*(Plan!$L$5:$L$76&gt;=BZ$5)*(ROW(Plan!$A$5:$A$76)-4))))</f>
        <v/>
      </c>
      <c r="CA6" s="26">
        <f>IF(SUMPRODUCT(((Plan!$I$5:$I$76="A")+(Plan!$I$5:$I$76="A+B"))*(Plan!$K$5:$K$76&lt;CA$5)*(Plan!$L$5:$L$76&gt;=CA$5))=0,"",INDEX(Plan!$A$5:$A$76,SUMPRODUCT(((Plan!$I$5:$I$76="A")+(Plan!$I$5:$I$76="A+B"))*(Plan!$K$5:$K$76&lt;CA$5)*(Plan!$L$5:$L$76&gt;=CA$5)*(ROW(Plan!$A$5:$A$76)-4))))</f>
        <v/>
      </c>
      <c r="CB6" s="26">
        <f>IF(SUMPRODUCT(((Plan!$I$5:$I$76="A")+(Plan!$I$5:$I$76="A+B"))*(Plan!$K$5:$K$76&lt;CB$5)*(Plan!$L$5:$L$76&gt;=CB$5))=0,"",INDEX(Plan!$A$5:$A$76,SUMPRODUCT(((Plan!$I$5:$I$76="A")+(Plan!$I$5:$I$76="A+B"))*(Plan!$K$5:$K$76&lt;CB$5)*(Plan!$L$5:$L$76&gt;=CB$5)*(ROW(Plan!$A$5:$A$76)-4))))</f>
        <v/>
      </c>
      <c r="CC6" s="26">
        <f>IF(SUMPRODUCT(((Plan!$I$5:$I$76="A")+(Plan!$I$5:$I$76="A+B"))*(Plan!$K$5:$K$76&lt;CC$5)*(Plan!$L$5:$L$76&gt;=CC$5))=0,"",INDEX(Plan!$A$5:$A$76,SUMPRODUCT(((Plan!$I$5:$I$76="A")+(Plan!$I$5:$I$76="A+B"))*(Plan!$K$5:$K$76&lt;CC$5)*(Plan!$L$5:$L$76&gt;=CC$5)*(ROW(Plan!$A$5:$A$76)-4))))</f>
        <v/>
      </c>
      <c r="CD6" s="26">
        <f>IF(SUMPRODUCT(((Plan!$I$5:$I$76="A")+(Plan!$I$5:$I$76="A+B"))*(Plan!$K$5:$K$76&lt;CD$5)*(Plan!$L$5:$L$76&gt;=CD$5))=0,"",INDEX(Plan!$A$5:$A$76,SUMPRODUCT(((Plan!$I$5:$I$76="A")+(Plan!$I$5:$I$76="A+B"))*(Plan!$K$5:$K$76&lt;CD$5)*(Plan!$L$5:$L$76&gt;=CD$5)*(ROW(Plan!$A$5:$A$76)-4))))</f>
        <v/>
      </c>
      <c r="CE6" s="26">
        <f>IF(SUMPRODUCT(((Plan!$I$5:$I$76="A")+(Plan!$I$5:$I$76="A+B"))*(Plan!$K$5:$K$76&lt;CE$5)*(Plan!$L$5:$L$76&gt;=CE$5))=0,"",INDEX(Plan!$A$5:$A$76,SUMPRODUCT(((Plan!$I$5:$I$76="A")+(Plan!$I$5:$I$76="A+B"))*(Plan!$K$5:$K$76&lt;CE$5)*(Plan!$L$5:$L$76&gt;=CE$5)*(ROW(Plan!$A$5:$A$76)-4))))</f>
        <v/>
      </c>
      <c r="CF6" s="26">
        <f>IF(SUMPRODUCT(((Plan!$I$5:$I$76="A")+(Plan!$I$5:$I$76="A+B"))*(Plan!$K$5:$K$76&lt;CF$5)*(Plan!$L$5:$L$76&gt;=CF$5))=0,"",INDEX(Plan!$A$5:$A$76,SUMPRODUCT(((Plan!$I$5:$I$76="A")+(Plan!$I$5:$I$76="A+B"))*(Plan!$K$5:$K$76&lt;CF$5)*(Plan!$L$5:$L$76&gt;=CF$5)*(ROW(Plan!$A$5:$A$76)-4))))</f>
        <v/>
      </c>
      <c r="CG6" s="26">
        <f>IF(SUMPRODUCT(((Plan!$I$5:$I$76="A")+(Plan!$I$5:$I$76="A+B"))*(Plan!$K$5:$K$76&lt;CG$5)*(Plan!$L$5:$L$76&gt;=CG$5))=0,"",INDEX(Plan!$A$5:$A$76,SUMPRODUCT(((Plan!$I$5:$I$76="A")+(Plan!$I$5:$I$76="A+B"))*(Plan!$K$5:$K$76&lt;CG$5)*(Plan!$L$5:$L$76&gt;=CG$5)*(ROW(Plan!$A$5:$A$76)-4))))</f>
        <v/>
      </c>
      <c r="CH6" s="26">
        <f>IF(SUMPRODUCT(((Plan!$I$5:$I$76="A")+(Plan!$I$5:$I$76="A+B"))*(Plan!$K$5:$K$76&lt;CH$5)*(Plan!$L$5:$L$76&gt;=CH$5))=0,"",INDEX(Plan!$A$5:$A$76,SUMPRODUCT(((Plan!$I$5:$I$76="A")+(Plan!$I$5:$I$76="A+B"))*(Plan!$K$5:$K$76&lt;CH$5)*(Plan!$L$5:$L$76&gt;=CH$5)*(ROW(Plan!$A$5:$A$76)-4))))</f>
        <v/>
      </c>
      <c r="CI6" s="26">
        <f>IF(SUMPRODUCT(((Plan!$I$5:$I$76="A")+(Plan!$I$5:$I$76="A+B"))*(Plan!$K$5:$K$76&lt;CI$5)*(Plan!$L$5:$L$76&gt;=CI$5))=0,"",INDEX(Plan!$A$5:$A$76,SUMPRODUCT(((Plan!$I$5:$I$76="A")+(Plan!$I$5:$I$76="A+B"))*(Plan!$K$5:$K$76&lt;CI$5)*(Plan!$L$5:$L$76&gt;=CI$5)*(ROW(Plan!$A$5:$A$76)-4))))</f>
        <v/>
      </c>
      <c r="CJ6" s="26">
        <f>IF(SUMPRODUCT(((Plan!$I$5:$I$76="A")+(Plan!$I$5:$I$76="A+B"))*(Plan!$K$5:$K$76&lt;CJ$5)*(Plan!$L$5:$L$76&gt;=CJ$5))=0,"",INDEX(Plan!$A$5:$A$76,SUMPRODUCT(((Plan!$I$5:$I$76="A")+(Plan!$I$5:$I$76="A+B"))*(Plan!$K$5:$K$76&lt;CJ$5)*(Plan!$L$5:$L$76&gt;=CJ$5)*(ROW(Plan!$A$5:$A$76)-4))))</f>
        <v/>
      </c>
      <c r="CK6" s="26">
        <f>IF(SUMPRODUCT(((Plan!$I$5:$I$76="A")+(Plan!$I$5:$I$76="A+B"))*(Plan!$K$5:$K$76&lt;CK$5)*(Plan!$L$5:$L$76&gt;=CK$5))=0,"",INDEX(Plan!$A$5:$A$76,SUMPRODUCT(((Plan!$I$5:$I$76="A")+(Plan!$I$5:$I$76="A+B"))*(Plan!$K$5:$K$76&lt;CK$5)*(Plan!$L$5:$L$76&gt;=CK$5)*(ROW(Plan!$A$5:$A$76)-4))))</f>
        <v/>
      </c>
      <c r="CL6" s="26">
        <f>IF(SUMPRODUCT(((Plan!$I$5:$I$76="A")+(Plan!$I$5:$I$76="A+B"))*(Plan!$K$5:$K$76&lt;CL$5)*(Plan!$L$5:$L$76&gt;=CL$5))=0,"",INDEX(Plan!$A$5:$A$76,SUMPRODUCT(((Plan!$I$5:$I$76="A")+(Plan!$I$5:$I$76="A+B"))*(Plan!$K$5:$K$76&lt;CL$5)*(Plan!$L$5:$L$76&gt;=CL$5)*(ROW(Plan!$A$5:$A$76)-4))))</f>
        <v/>
      </c>
      <c r="CM6" s="26">
        <f>IF(SUMPRODUCT(((Plan!$I$5:$I$76="A")+(Plan!$I$5:$I$76="A+B"))*(Plan!$K$5:$K$76&lt;CM$5)*(Plan!$L$5:$L$76&gt;=CM$5))=0,"",INDEX(Plan!$A$5:$A$76,SUMPRODUCT(((Plan!$I$5:$I$76="A")+(Plan!$I$5:$I$76="A+B"))*(Plan!$K$5:$K$76&lt;CM$5)*(Plan!$L$5:$L$76&gt;=CM$5)*(ROW(Plan!$A$5:$A$76)-4))))</f>
        <v/>
      </c>
      <c r="CN6" s="26">
        <f>IF(SUMPRODUCT(((Plan!$I$5:$I$76="A")+(Plan!$I$5:$I$76="A+B"))*(Plan!$K$5:$K$76&lt;CN$5)*(Plan!$L$5:$L$76&gt;=CN$5))=0,"",INDEX(Plan!$A$5:$A$76,SUMPRODUCT(((Plan!$I$5:$I$76="A")+(Plan!$I$5:$I$76="A+B"))*(Plan!$K$5:$K$76&lt;CN$5)*(Plan!$L$5:$L$76&gt;=CN$5)*(ROW(Plan!$A$5:$A$76)-4))))</f>
        <v/>
      </c>
      <c r="CO6" s="26">
        <f>IF(SUMPRODUCT(((Plan!$I$5:$I$76="A")+(Plan!$I$5:$I$76="A+B"))*(Plan!$K$5:$K$76&lt;CO$5)*(Plan!$L$5:$L$76&gt;=CO$5))=0,"",INDEX(Plan!$A$5:$A$76,SUMPRODUCT(((Plan!$I$5:$I$76="A")+(Plan!$I$5:$I$76="A+B"))*(Plan!$K$5:$K$76&lt;CO$5)*(Plan!$L$5:$L$76&gt;=CO$5)*(ROW(Plan!$A$5:$A$76)-4))))</f>
        <v/>
      </c>
      <c r="CP6" s="26">
        <f>IF(SUMPRODUCT(((Plan!$I$5:$I$76="A")+(Plan!$I$5:$I$76="A+B"))*(Plan!$K$5:$K$76&lt;CP$5)*(Plan!$L$5:$L$76&gt;=CP$5))=0,"",INDEX(Plan!$A$5:$A$76,SUMPRODUCT(((Plan!$I$5:$I$76="A")+(Plan!$I$5:$I$76="A+B"))*(Plan!$K$5:$K$76&lt;CP$5)*(Plan!$L$5:$L$76&gt;=CP$5)*(ROW(Plan!$A$5:$A$76)-4))))</f>
        <v/>
      </c>
      <c r="CQ6" s="26">
        <f>IF(SUMPRODUCT(((Plan!$I$5:$I$76="A")+(Plan!$I$5:$I$76="A+B"))*(Plan!$K$5:$K$76&lt;CQ$5)*(Plan!$L$5:$L$76&gt;=CQ$5))=0,"",INDEX(Plan!$A$5:$A$76,SUMPRODUCT(((Plan!$I$5:$I$76="A")+(Plan!$I$5:$I$76="A+B"))*(Plan!$K$5:$K$76&lt;CQ$5)*(Plan!$L$5:$L$76&gt;=CQ$5)*(ROW(Plan!$A$5:$A$76)-4))))</f>
        <v/>
      </c>
      <c r="CR6" s="26">
        <f>IF(SUMPRODUCT(((Plan!$I$5:$I$76="A")+(Plan!$I$5:$I$76="A+B"))*(Plan!$K$5:$K$76&lt;CR$5)*(Plan!$L$5:$L$76&gt;=CR$5))=0,"",INDEX(Plan!$A$5:$A$76,SUMPRODUCT(((Plan!$I$5:$I$76="A")+(Plan!$I$5:$I$76="A+B"))*(Plan!$K$5:$K$76&lt;CR$5)*(Plan!$L$5:$L$76&gt;=CR$5)*(ROW(Plan!$A$5:$A$76)-4))))</f>
        <v/>
      </c>
      <c r="CS6" s="26">
        <f>IF(SUMPRODUCT(((Plan!$I$5:$I$76="A")+(Plan!$I$5:$I$76="A+B"))*(Plan!$K$5:$K$76&lt;CS$5)*(Plan!$L$5:$L$76&gt;=CS$5))=0,"",INDEX(Plan!$A$5:$A$76,SUMPRODUCT(((Plan!$I$5:$I$76="A")+(Plan!$I$5:$I$76="A+B"))*(Plan!$K$5:$K$76&lt;CS$5)*(Plan!$L$5:$L$76&gt;=CS$5)*(ROW(Plan!$A$5:$A$76)-4))))</f>
        <v/>
      </c>
    </row>
    <row r="7" ht="26" customHeight="1">
      <c r="A7" s="22" t="inlineStr">
        <is>
          <t>Fila B — tarea en curso</t>
        </is>
      </c>
      <c r="H7" s="26">
        <f>IF(SUMPRODUCT(((Plan!$I$5:$I$76="B")+(Plan!$I$5:$I$76="A+B"))*(Plan!$K$5:$K$76&lt;H$5)*(Plan!$L$5:$L$76&gt;=H$5))=0,"",INDEX(Plan!$A$5:$A$76,SUMPRODUCT(((Plan!$I$5:$I$76="B")+(Plan!$I$5:$I$76="A+B"))*(Plan!$K$5:$K$76&lt;H$5)*(Plan!$L$5:$L$76&gt;=H$5)*(ROW(Plan!$A$5:$A$76)-4))))</f>
        <v/>
      </c>
      <c r="I7" s="26">
        <f>IF(SUMPRODUCT(((Plan!$I$5:$I$76="B")+(Plan!$I$5:$I$76="A+B"))*(Plan!$K$5:$K$76&lt;I$5)*(Plan!$L$5:$L$76&gt;=I$5))=0,"",INDEX(Plan!$A$5:$A$76,SUMPRODUCT(((Plan!$I$5:$I$76="B")+(Plan!$I$5:$I$76="A+B"))*(Plan!$K$5:$K$76&lt;I$5)*(Plan!$L$5:$L$76&gt;=I$5)*(ROW(Plan!$A$5:$A$76)-4))))</f>
        <v/>
      </c>
      <c r="J7" s="26">
        <f>IF(SUMPRODUCT(((Plan!$I$5:$I$76="B")+(Plan!$I$5:$I$76="A+B"))*(Plan!$K$5:$K$76&lt;J$5)*(Plan!$L$5:$L$76&gt;=J$5))=0,"",INDEX(Plan!$A$5:$A$76,SUMPRODUCT(((Plan!$I$5:$I$76="B")+(Plan!$I$5:$I$76="A+B"))*(Plan!$K$5:$K$76&lt;J$5)*(Plan!$L$5:$L$76&gt;=J$5)*(ROW(Plan!$A$5:$A$76)-4))))</f>
        <v/>
      </c>
      <c r="K7" s="26">
        <f>IF(SUMPRODUCT(((Plan!$I$5:$I$76="B")+(Plan!$I$5:$I$76="A+B"))*(Plan!$K$5:$K$76&lt;K$5)*(Plan!$L$5:$L$76&gt;=K$5))=0,"",INDEX(Plan!$A$5:$A$76,SUMPRODUCT(((Plan!$I$5:$I$76="B")+(Plan!$I$5:$I$76="A+B"))*(Plan!$K$5:$K$76&lt;K$5)*(Plan!$L$5:$L$76&gt;=K$5)*(ROW(Plan!$A$5:$A$76)-4))))</f>
        <v/>
      </c>
      <c r="L7" s="26">
        <f>IF(SUMPRODUCT(((Plan!$I$5:$I$76="B")+(Plan!$I$5:$I$76="A+B"))*(Plan!$K$5:$K$76&lt;L$5)*(Plan!$L$5:$L$76&gt;=L$5))=0,"",INDEX(Plan!$A$5:$A$76,SUMPRODUCT(((Plan!$I$5:$I$76="B")+(Plan!$I$5:$I$76="A+B"))*(Plan!$K$5:$K$76&lt;L$5)*(Plan!$L$5:$L$76&gt;=L$5)*(ROW(Plan!$A$5:$A$76)-4))))</f>
        <v/>
      </c>
      <c r="M7" s="26">
        <f>IF(SUMPRODUCT(((Plan!$I$5:$I$76="B")+(Plan!$I$5:$I$76="A+B"))*(Plan!$K$5:$K$76&lt;M$5)*(Plan!$L$5:$L$76&gt;=M$5))=0,"",INDEX(Plan!$A$5:$A$76,SUMPRODUCT(((Plan!$I$5:$I$76="B")+(Plan!$I$5:$I$76="A+B"))*(Plan!$K$5:$K$76&lt;M$5)*(Plan!$L$5:$L$76&gt;=M$5)*(ROW(Plan!$A$5:$A$76)-4))))</f>
        <v/>
      </c>
      <c r="N7" s="26">
        <f>IF(SUMPRODUCT(((Plan!$I$5:$I$76="B")+(Plan!$I$5:$I$76="A+B"))*(Plan!$K$5:$K$76&lt;N$5)*(Plan!$L$5:$L$76&gt;=N$5))=0,"",INDEX(Plan!$A$5:$A$76,SUMPRODUCT(((Plan!$I$5:$I$76="B")+(Plan!$I$5:$I$76="A+B"))*(Plan!$K$5:$K$76&lt;N$5)*(Plan!$L$5:$L$76&gt;=N$5)*(ROW(Plan!$A$5:$A$76)-4))))</f>
        <v/>
      </c>
      <c r="O7" s="26">
        <f>IF(SUMPRODUCT(((Plan!$I$5:$I$76="B")+(Plan!$I$5:$I$76="A+B"))*(Plan!$K$5:$K$76&lt;O$5)*(Plan!$L$5:$L$76&gt;=O$5))=0,"",INDEX(Plan!$A$5:$A$76,SUMPRODUCT(((Plan!$I$5:$I$76="B")+(Plan!$I$5:$I$76="A+B"))*(Plan!$K$5:$K$76&lt;O$5)*(Plan!$L$5:$L$76&gt;=O$5)*(ROW(Plan!$A$5:$A$76)-4))))</f>
        <v/>
      </c>
      <c r="P7" s="26">
        <f>IF(SUMPRODUCT(((Plan!$I$5:$I$76="B")+(Plan!$I$5:$I$76="A+B"))*(Plan!$K$5:$K$76&lt;P$5)*(Plan!$L$5:$L$76&gt;=P$5))=0,"",INDEX(Plan!$A$5:$A$76,SUMPRODUCT(((Plan!$I$5:$I$76="B")+(Plan!$I$5:$I$76="A+B"))*(Plan!$K$5:$K$76&lt;P$5)*(Plan!$L$5:$L$76&gt;=P$5)*(ROW(Plan!$A$5:$A$76)-4))))</f>
        <v/>
      </c>
      <c r="Q7" s="26">
        <f>IF(SUMPRODUCT(((Plan!$I$5:$I$76="B")+(Plan!$I$5:$I$76="A+B"))*(Plan!$K$5:$K$76&lt;Q$5)*(Plan!$L$5:$L$76&gt;=Q$5))=0,"",INDEX(Plan!$A$5:$A$76,SUMPRODUCT(((Plan!$I$5:$I$76="B")+(Plan!$I$5:$I$76="A+B"))*(Plan!$K$5:$K$76&lt;Q$5)*(Plan!$L$5:$L$76&gt;=Q$5)*(ROW(Plan!$A$5:$A$76)-4))))</f>
        <v/>
      </c>
      <c r="R7" s="26">
        <f>IF(SUMPRODUCT(((Plan!$I$5:$I$76="B")+(Plan!$I$5:$I$76="A+B"))*(Plan!$K$5:$K$76&lt;R$5)*(Plan!$L$5:$L$76&gt;=R$5))=0,"",INDEX(Plan!$A$5:$A$76,SUMPRODUCT(((Plan!$I$5:$I$76="B")+(Plan!$I$5:$I$76="A+B"))*(Plan!$K$5:$K$76&lt;R$5)*(Plan!$L$5:$L$76&gt;=R$5)*(ROW(Plan!$A$5:$A$76)-4))))</f>
        <v/>
      </c>
      <c r="S7" s="26">
        <f>IF(SUMPRODUCT(((Plan!$I$5:$I$76="B")+(Plan!$I$5:$I$76="A+B"))*(Plan!$K$5:$K$76&lt;S$5)*(Plan!$L$5:$L$76&gt;=S$5))=0,"",INDEX(Plan!$A$5:$A$76,SUMPRODUCT(((Plan!$I$5:$I$76="B")+(Plan!$I$5:$I$76="A+B"))*(Plan!$K$5:$K$76&lt;S$5)*(Plan!$L$5:$L$76&gt;=S$5)*(ROW(Plan!$A$5:$A$76)-4))))</f>
        <v/>
      </c>
      <c r="T7" s="26">
        <f>IF(SUMPRODUCT(((Plan!$I$5:$I$76="B")+(Plan!$I$5:$I$76="A+B"))*(Plan!$K$5:$K$76&lt;T$5)*(Plan!$L$5:$L$76&gt;=T$5))=0,"",INDEX(Plan!$A$5:$A$76,SUMPRODUCT(((Plan!$I$5:$I$76="B")+(Plan!$I$5:$I$76="A+B"))*(Plan!$K$5:$K$76&lt;T$5)*(Plan!$L$5:$L$76&gt;=T$5)*(ROW(Plan!$A$5:$A$76)-4))))</f>
        <v/>
      </c>
      <c r="U7" s="26">
        <f>IF(SUMPRODUCT(((Plan!$I$5:$I$76="B")+(Plan!$I$5:$I$76="A+B"))*(Plan!$K$5:$K$76&lt;U$5)*(Plan!$L$5:$L$76&gt;=U$5))=0,"",INDEX(Plan!$A$5:$A$76,SUMPRODUCT(((Plan!$I$5:$I$76="B")+(Plan!$I$5:$I$76="A+B"))*(Plan!$K$5:$K$76&lt;U$5)*(Plan!$L$5:$L$76&gt;=U$5)*(ROW(Plan!$A$5:$A$76)-4))))</f>
        <v/>
      </c>
      <c r="V7" s="26">
        <f>IF(SUMPRODUCT(((Plan!$I$5:$I$76="B")+(Plan!$I$5:$I$76="A+B"))*(Plan!$K$5:$K$76&lt;V$5)*(Plan!$L$5:$L$76&gt;=V$5))=0,"",INDEX(Plan!$A$5:$A$76,SUMPRODUCT(((Plan!$I$5:$I$76="B")+(Plan!$I$5:$I$76="A+B"))*(Plan!$K$5:$K$76&lt;V$5)*(Plan!$L$5:$L$76&gt;=V$5)*(ROW(Plan!$A$5:$A$76)-4))))</f>
        <v/>
      </c>
      <c r="W7" s="26">
        <f>IF(SUMPRODUCT(((Plan!$I$5:$I$76="B")+(Plan!$I$5:$I$76="A+B"))*(Plan!$K$5:$K$76&lt;W$5)*(Plan!$L$5:$L$76&gt;=W$5))=0,"",INDEX(Plan!$A$5:$A$76,SUMPRODUCT(((Plan!$I$5:$I$76="B")+(Plan!$I$5:$I$76="A+B"))*(Plan!$K$5:$K$76&lt;W$5)*(Plan!$L$5:$L$76&gt;=W$5)*(ROW(Plan!$A$5:$A$76)-4))))</f>
        <v/>
      </c>
      <c r="X7" s="26">
        <f>IF(SUMPRODUCT(((Plan!$I$5:$I$76="B")+(Plan!$I$5:$I$76="A+B"))*(Plan!$K$5:$K$76&lt;X$5)*(Plan!$L$5:$L$76&gt;=X$5))=0,"",INDEX(Plan!$A$5:$A$76,SUMPRODUCT(((Plan!$I$5:$I$76="B")+(Plan!$I$5:$I$76="A+B"))*(Plan!$K$5:$K$76&lt;X$5)*(Plan!$L$5:$L$76&gt;=X$5)*(ROW(Plan!$A$5:$A$76)-4))))</f>
        <v/>
      </c>
      <c r="Y7" s="26">
        <f>IF(SUMPRODUCT(((Plan!$I$5:$I$76="B")+(Plan!$I$5:$I$76="A+B"))*(Plan!$K$5:$K$76&lt;Y$5)*(Plan!$L$5:$L$76&gt;=Y$5))=0,"",INDEX(Plan!$A$5:$A$76,SUMPRODUCT(((Plan!$I$5:$I$76="B")+(Plan!$I$5:$I$76="A+B"))*(Plan!$K$5:$K$76&lt;Y$5)*(Plan!$L$5:$L$76&gt;=Y$5)*(ROW(Plan!$A$5:$A$76)-4))))</f>
        <v/>
      </c>
      <c r="Z7" s="26">
        <f>IF(SUMPRODUCT(((Plan!$I$5:$I$76="B")+(Plan!$I$5:$I$76="A+B"))*(Plan!$K$5:$K$76&lt;Z$5)*(Plan!$L$5:$L$76&gt;=Z$5))=0,"",INDEX(Plan!$A$5:$A$76,SUMPRODUCT(((Plan!$I$5:$I$76="B")+(Plan!$I$5:$I$76="A+B"))*(Plan!$K$5:$K$76&lt;Z$5)*(Plan!$L$5:$L$76&gt;=Z$5)*(ROW(Plan!$A$5:$A$76)-4))))</f>
        <v/>
      </c>
      <c r="AA7" s="26">
        <f>IF(SUMPRODUCT(((Plan!$I$5:$I$76="B")+(Plan!$I$5:$I$76="A+B"))*(Plan!$K$5:$K$76&lt;AA$5)*(Plan!$L$5:$L$76&gt;=AA$5))=0,"",INDEX(Plan!$A$5:$A$76,SUMPRODUCT(((Plan!$I$5:$I$76="B")+(Plan!$I$5:$I$76="A+B"))*(Plan!$K$5:$K$76&lt;AA$5)*(Plan!$L$5:$L$76&gt;=AA$5)*(ROW(Plan!$A$5:$A$76)-4))))</f>
        <v/>
      </c>
      <c r="AB7" s="26">
        <f>IF(SUMPRODUCT(((Plan!$I$5:$I$76="B")+(Plan!$I$5:$I$76="A+B"))*(Plan!$K$5:$K$76&lt;AB$5)*(Plan!$L$5:$L$76&gt;=AB$5))=0,"",INDEX(Plan!$A$5:$A$76,SUMPRODUCT(((Plan!$I$5:$I$76="B")+(Plan!$I$5:$I$76="A+B"))*(Plan!$K$5:$K$76&lt;AB$5)*(Plan!$L$5:$L$76&gt;=AB$5)*(ROW(Plan!$A$5:$A$76)-4))))</f>
        <v/>
      </c>
      <c r="AC7" s="26">
        <f>IF(SUMPRODUCT(((Plan!$I$5:$I$76="B")+(Plan!$I$5:$I$76="A+B"))*(Plan!$K$5:$K$76&lt;AC$5)*(Plan!$L$5:$L$76&gt;=AC$5))=0,"",INDEX(Plan!$A$5:$A$76,SUMPRODUCT(((Plan!$I$5:$I$76="B")+(Plan!$I$5:$I$76="A+B"))*(Plan!$K$5:$K$76&lt;AC$5)*(Plan!$L$5:$L$76&gt;=AC$5)*(ROW(Plan!$A$5:$A$76)-4))))</f>
        <v/>
      </c>
      <c r="AD7" s="26">
        <f>IF(SUMPRODUCT(((Plan!$I$5:$I$76="B")+(Plan!$I$5:$I$76="A+B"))*(Plan!$K$5:$K$76&lt;AD$5)*(Plan!$L$5:$L$76&gt;=AD$5))=0,"",INDEX(Plan!$A$5:$A$76,SUMPRODUCT(((Plan!$I$5:$I$76="B")+(Plan!$I$5:$I$76="A+B"))*(Plan!$K$5:$K$76&lt;AD$5)*(Plan!$L$5:$L$76&gt;=AD$5)*(ROW(Plan!$A$5:$A$76)-4))))</f>
        <v/>
      </c>
      <c r="AE7" s="26">
        <f>IF(SUMPRODUCT(((Plan!$I$5:$I$76="B")+(Plan!$I$5:$I$76="A+B"))*(Plan!$K$5:$K$76&lt;AE$5)*(Plan!$L$5:$L$76&gt;=AE$5))=0,"",INDEX(Plan!$A$5:$A$76,SUMPRODUCT(((Plan!$I$5:$I$76="B")+(Plan!$I$5:$I$76="A+B"))*(Plan!$K$5:$K$76&lt;AE$5)*(Plan!$L$5:$L$76&gt;=AE$5)*(ROW(Plan!$A$5:$A$76)-4))))</f>
        <v/>
      </c>
      <c r="AF7" s="26">
        <f>IF(SUMPRODUCT(((Plan!$I$5:$I$76="B")+(Plan!$I$5:$I$76="A+B"))*(Plan!$K$5:$K$76&lt;AF$5)*(Plan!$L$5:$L$76&gt;=AF$5))=0,"",INDEX(Plan!$A$5:$A$76,SUMPRODUCT(((Plan!$I$5:$I$76="B")+(Plan!$I$5:$I$76="A+B"))*(Plan!$K$5:$K$76&lt;AF$5)*(Plan!$L$5:$L$76&gt;=AF$5)*(ROW(Plan!$A$5:$A$76)-4))))</f>
        <v/>
      </c>
      <c r="AG7" s="26">
        <f>IF(SUMPRODUCT(((Plan!$I$5:$I$76="B")+(Plan!$I$5:$I$76="A+B"))*(Plan!$K$5:$K$76&lt;AG$5)*(Plan!$L$5:$L$76&gt;=AG$5))=0,"",INDEX(Plan!$A$5:$A$76,SUMPRODUCT(((Plan!$I$5:$I$76="B")+(Plan!$I$5:$I$76="A+B"))*(Plan!$K$5:$K$76&lt;AG$5)*(Plan!$L$5:$L$76&gt;=AG$5)*(ROW(Plan!$A$5:$A$76)-4))))</f>
        <v/>
      </c>
      <c r="AH7" s="26">
        <f>IF(SUMPRODUCT(((Plan!$I$5:$I$76="B")+(Plan!$I$5:$I$76="A+B"))*(Plan!$K$5:$K$76&lt;AH$5)*(Plan!$L$5:$L$76&gt;=AH$5))=0,"",INDEX(Plan!$A$5:$A$76,SUMPRODUCT(((Plan!$I$5:$I$76="B")+(Plan!$I$5:$I$76="A+B"))*(Plan!$K$5:$K$76&lt;AH$5)*(Plan!$L$5:$L$76&gt;=AH$5)*(ROW(Plan!$A$5:$A$76)-4))))</f>
        <v/>
      </c>
      <c r="AI7" s="26">
        <f>IF(SUMPRODUCT(((Plan!$I$5:$I$76="B")+(Plan!$I$5:$I$76="A+B"))*(Plan!$K$5:$K$76&lt;AI$5)*(Plan!$L$5:$L$76&gt;=AI$5))=0,"",INDEX(Plan!$A$5:$A$76,SUMPRODUCT(((Plan!$I$5:$I$76="B")+(Plan!$I$5:$I$76="A+B"))*(Plan!$K$5:$K$76&lt;AI$5)*(Plan!$L$5:$L$76&gt;=AI$5)*(ROW(Plan!$A$5:$A$76)-4))))</f>
        <v/>
      </c>
      <c r="AJ7" s="26">
        <f>IF(SUMPRODUCT(((Plan!$I$5:$I$76="B")+(Plan!$I$5:$I$76="A+B"))*(Plan!$K$5:$K$76&lt;AJ$5)*(Plan!$L$5:$L$76&gt;=AJ$5))=0,"",INDEX(Plan!$A$5:$A$76,SUMPRODUCT(((Plan!$I$5:$I$76="B")+(Plan!$I$5:$I$76="A+B"))*(Plan!$K$5:$K$76&lt;AJ$5)*(Plan!$L$5:$L$76&gt;=AJ$5)*(ROW(Plan!$A$5:$A$76)-4))))</f>
        <v/>
      </c>
      <c r="AK7" s="26">
        <f>IF(SUMPRODUCT(((Plan!$I$5:$I$76="B")+(Plan!$I$5:$I$76="A+B"))*(Plan!$K$5:$K$76&lt;AK$5)*(Plan!$L$5:$L$76&gt;=AK$5))=0,"",INDEX(Plan!$A$5:$A$76,SUMPRODUCT(((Plan!$I$5:$I$76="B")+(Plan!$I$5:$I$76="A+B"))*(Plan!$K$5:$K$76&lt;AK$5)*(Plan!$L$5:$L$76&gt;=AK$5)*(ROW(Plan!$A$5:$A$76)-4))))</f>
        <v/>
      </c>
      <c r="AL7" s="26">
        <f>IF(SUMPRODUCT(((Plan!$I$5:$I$76="B")+(Plan!$I$5:$I$76="A+B"))*(Plan!$K$5:$K$76&lt;AL$5)*(Plan!$L$5:$L$76&gt;=AL$5))=0,"",INDEX(Plan!$A$5:$A$76,SUMPRODUCT(((Plan!$I$5:$I$76="B")+(Plan!$I$5:$I$76="A+B"))*(Plan!$K$5:$K$76&lt;AL$5)*(Plan!$L$5:$L$76&gt;=AL$5)*(ROW(Plan!$A$5:$A$76)-4))))</f>
        <v/>
      </c>
      <c r="AM7" s="26">
        <f>IF(SUMPRODUCT(((Plan!$I$5:$I$76="B")+(Plan!$I$5:$I$76="A+B"))*(Plan!$K$5:$K$76&lt;AM$5)*(Plan!$L$5:$L$76&gt;=AM$5))=0,"",INDEX(Plan!$A$5:$A$76,SUMPRODUCT(((Plan!$I$5:$I$76="B")+(Plan!$I$5:$I$76="A+B"))*(Plan!$K$5:$K$76&lt;AM$5)*(Plan!$L$5:$L$76&gt;=AM$5)*(ROW(Plan!$A$5:$A$76)-4))))</f>
        <v/>
      </c>
      <c r="AN7" s="26">
        <f>IF(SUMPRODUCT(((Plan!$I$5:$I$76="B")+(Plan!$I$5:$I$76="A+B"))*(Plan!$K$5:$K$76&lt;AN$5)*(Plan!$L$5:$L$76&gt;=AN$5))=0,"",INDEX(Plan!$A$5:$A$76,SUMPRODUCT(((Plan!$I$5:$I$76="B")+(Plan!$I$5:$I$76="A+B"))*(Plan!$K$5:$K$76&lt;AN$5)*(Plan!$L$5:$L$76&gt;=AN$5)*(ROW(Plan!$A$5:$A$76)-4))))</f>
        <v/>
      </c>
      <c r="AO7" s="26">
        <f>IF(SUMPRODUCT(((Plan!$I$5:$I$76="B")+(Plan!$I$5:$I$76="A+B"))*(Plan!$K$5:$K$76&lt;AO$5)*(Plan!$L$5:$L$76&gt;=AO$5))=0,"",INDEX(Plan!$A$5:$A$76,SUMPRODUCT(((Plan!$I$5:$I$76="B")+(Plan!$I$5:$I$76="A+B"))*(Plan!$K$5:$K$76&lt;AO$5)*(Plan!$L$5:$L$76&gt;=AO$5)*(ROW(Plan!$A$5:$A$76)-4))))</f>
        <v/>
      </c>
      <c r="AP7" s="26">
        <f>IF(SUMPRODUCT(((Plan!$I$5:$I$76="B")+(Plan!$I$5:$I$76="A+B"))*(Plan!$K$5:$K$76&lt;AP$5)*(Plan!$L$5:$L$76&gt;=AP$5))=0,"",INDEX(Plan!$A$5:$A$76,SUMPRODUCT(((Plan!$I$5:$I$76="B")+(Plan!$I$5:$I$76="A+B"))*(Plan!$K$5:$K$76&lt;AP$5)*(Plan!$L$5:$L$76&gt;=AP$5)*(ROW(Plan!$A$5:$A$76)-4))))</f>
        <v/>
      </c>
      <c r="AQ7" s="26">
        <f>IF(SUMPRODUCT(((Plan!$I$5:$I$76="B")+(Plan!$I$5:$I$76="A+B"))*(Plan!$K$5:$K$76&lt;AQ$5)*(Plan!$L$5:$L$76&gt;=AQ$5))=0,"",INDEX(Plan!$A$5:$A$76,SUMPRODUCT(((Plan!$I$5:$I$76="B")+(Plan!$I$5:$I$76="A+B"))*(Plan!$K$5:$K$76&lt;AQ$5)*(Plan!$L$5:$L$76&gt;=AQ$5)*(ROW(Plan!$A$5:$A$76)-4))))</f>
        <v/>
      </c>
      <c r="AR7" s="26">
        <f>IF(SUMPRODUCT(((Plan!$I$5:$I$76="B")+(Plan!$I$5:$I$76="A+B"))*(Plan!$K$5:$K$76&lt;AR$5)*(Plan!$L$5:$L$76&gt;=AR$5))=0,"",INDEX(Plan!$A$5:$A$76,SUMPRODUCT(((Plan!$I$5:$I$76="B")+(Plan!$I$5:$I$76="A+B"))*(Plan!$K$5:$K$76&lt;AR$5)*(Plan!$L$5:$L$76&gt;=AR$5)*(ROW(Plan!$A$5:$A$76)-4))))</f>
        <v/>
      </c>
      <c r="AS7" s="26">
        <f>IF(SUMPRODUCT(((Plan!$I$5:$I$76="B")+(Plan!$I$5:$I$76="A+B"))*(Plan!$K$5:$K$76&lt;AS$5)*(Plan!$L$5:$L$76&gt;=AS$5))=0,"",INDEX(Plan!$A$5:$A$76,SUMPRODUCT(((Plan!$I$5:$I$76="B")+(Plan!$I$5:$I$76="A+B"))*(Plan!$K$5:$K$76&lt;AS$5)*(Plan!$L$5:$L$76&gt;=AS$5)*(ROW(Plan!$A$5:$A$76)-4))))</f>
        <v/>
      </c>
      <c r="AT7" s="26">
        <f>IF(SUMPRODUCT(((Plan!$I$5:$I$76="B")+(Plan!$I$5:$I$76="A+B"))*(Plan!$K$5:$K$76&lt;AT$5)*(Plan!$L$5:$L$76&gt;=AT$5))=0,"",INDEX(Plan!$A$5:$A$76,SUMPRODUCT(((Plan!$I$5:$I$76="B")+(Plan!$I$5:$I$76="A+B"))*(Plan!$K$5:$K$76&lt;AT$5)*(Plan!$L$5:$L$76&gt;=AT$5)*(ROW(Plan!$A$5:$A$76)-4))))</f>
        <v/>
      </c>
      <c r="AU7" s="26">
        <f>IF(SUMPRODUCT(((Plan!$I$5:$I$76="B")+(Plan!$I$5:$I$76="A+B"))*(Plan!$K$5:$K$76&lt;AU$5)*(Plan!$L$5:$L$76&gt;=AU$5))=0,"",INDEX(Plan!$A$5:$A$76,SUMPRODUCT(((Plan!$I$5:$I$76="B")+(Plan!$I$5:$I$76="A+B"))*(Plan!$K$5:$K$76&lt;AU$5)*(Plan!$L$5:$L$76&gt;=AU$5)*(ROW(Plan!$A$5:$A$76)-4))))</f>
        <v/>
      </c>
      <c r="AV7" s="26">
        <f>IF(SUMPRODUCT(((Plan!$I$5:$I$76="B")+(Plan!$I$5:$I$76="A+B"))*(Plan!$K$5:$K$76&lt;AV$5)*(Plan!$L$5:$L$76&gt;=AV$5))=0,"",INDEX(Plan!$A$5:$A$76,SUMPRODUCT(((Plan!$I$5:$I$76="B")+(Plan!$I$5:$I$76="A+B"))*(Plan!$K$5:$K$76&lt;AV$5)*(Plan!$L$5:$L$76&gt;=AV$5)*(ROW(Plan!$A$5:$A$76)-4))))</f>
        <v/>
      </c>
      <c r="AW7" s="26">
        <f>IF(SUMPRODUCT(((Plan!$I$5:$I$76="B")+(Plan!$I$5:$I$76="A+B"))*(Plan!$K$5:$K$76&lt;AW$5)*(Plan!$L$5:$L$76&gt;=AW$5))=0,"",INDEX(Plan!$A$5:$A$76,SUMPRODUCT(((Plan!$I$5:$I$76="B")+(Plan!$I$5:$I$76="A+B"))*(Plan!$K$5:$K$76&lt;AW$5)*(Plan!$L$5:$L$76&gt;=AW$5)*(ROW(Plan!$A$5:$A$76)-4))))</f>
        <v/>
      </c>
      <c r="AX7" s="26">
        <f>IF(SUMPRODUCT(((Plan!$I$5:$I$76="B")+(Plan!$I$5:$I$76="A+B"))*(Plan!$K$5:$K$76&lt;AX$5)*(Plan!$L$5:$L$76&gt;=AX$5))=0,"",INDEX(Plan!$A$5:$A$76,SUMPRODUCT(((Plan!$I$5:$I$76="B")+(Plan!$I$5:$I$76="A+B"))*(Plan!$K$5:$K$76&lt;AX$5)*(Plan!$L$5:$L$76&gt;=AX$5)*(ROW(Plan!$A$5:$A$76)-4))))</f>
        <v/>
      </c>
      <c r="AY7" s="26">
        <f>IF(SUMPRODUCT(((Plan!$I$5:$I$76="B")+(Plan!$I$5:$I$76="A+B"))*(Plan!$K$5:$K$76&lt;AY$5)*(Plan!$L$5:$L$76&gt;=AY$5))=0,"",INDEX(Plan!$A$5:$A$76,SUMPRODUCT(((Plan!$I$5:$I$76="B")+(Plan!$I$5:$I$76="A+B"))*(Plan!$K$5:$K$76&lt;AY$5)*(Plan!$L$5:$L$76&gt;=AY$5)*(ROW(Plan!$A$5:$A$76)-4))))</f>
        <v/>
      </c>
      <c r="AZ7" s="26">
        <f>IF(SUMPRODUCT(((Plan!$I$5:$I$76="B")+(Plan!$I$5:$I$76="A+B"))*(Plan!$K$5:$K$76&lt;AZ$5)*(Plan!$L$5:$L$76&gt;=AZ$5))=0,"",INDEX(Plan!$A$5:$A$76,SUMPRODUCT(((Plan!$I$5:$I$76="B")+(Plan!$I$5:$I$76="A+B"))*(Plan!$K$5:$K$76&lt;AZ$5)*(Plan!$L$5:$L$76&gt;=AZ$5)*(ROW(Plan!$A$5:$A$76)-4))))</f>
        <v/>
      </c>
      <c r="BA7" s="26">
        <f>IF(SUMPRODUCT(((Plan!$I$5:$I$76="B")+(Plan!$I$5:$I$76="A+B"))*(Plan!$K$5:$K$76&lt;BA$5)*(Plan!$L$5:$L$76&gt;=BA$5))=0,"",INDEX(Plan!$A$5:$A$76,SUMPRODUCT(((Plan!$I$5:$I$76="B")+(Plan!$I$5:$I$76="A+B"))*(Plan!$K$5:$K$76&lt;BA$5)*(Plan!$L$5:$L$76&gt;=BA$5)*(ROW(Plan!$A$5:$A$76)-4))))</f>
        <v/>
      </c>
      <c r="BB7" s="26">
        <f>IF(SUMPRODUCT(((Plan!$I$5:$I$76="B")+(Plan!$I$5:$I$76="A+B"))*(Plan!$K$5:$K$76&lt;BB$5)*(Plan!$L$5:$L$76&gt;=BB$5))=0,"",INDEX(Plan!$A$5:$A$76,SUMPRODUCT(((Plan!$I$5:$I$76="B")+(Plan!$I$5:$I$76="A+B"))*(Plan!$K$5:$K$76&lt;BB$5)*(Plan!$L$5:$L$76&gt;=BB$5)*(ROW(Plan!$A$5:$A$76)-4))))</f>
        <v/>
      </c>
      <c r="BC7" s="26">
        <f>IF(SUMPRODUCT(((Plan!$I$5:$I$76="B")+(Plan!$I$5:$I$76="A+B"))*(Plan!$K$5:$K$76&lt;BC$5)*(Plan!$L$5:$L$76&gt;=BC$5))=0,"",INDEX(Plan!$A$5:$A$76,SUMPRODUCT(((Plan!$I$5:$I$76="B")+(Plan!$I$5:$I$76="A+B"))*(Plan!$K$5:$K$76&lt;BC$5)*(Plan!$L$5:$L$76&gt;=BC$5)*(ROW(Plan!$A$5:$A$76)-4))))</f>
        <v/>
      </c>
      <c r="BD7" s="26">
        <f>IF(SUMPRODUCT(((Plan!$I$5:$I$76="B")+(Plan!$I$5:$I$76="A+B"))*(Plan!$K$5:$K$76&lt;BD$5)*(Plan!$L$5:$L$76&gt;=BD$5))=0,"",INDEX(Plan!$A$5:$A$76,SUMPRODUCT(((Plan!$I$5:$I$76="B")+(Plan!$I$5:$I$76="A+B"))*(Plan!$K$5:$K$76&lt;BD$5)*(Plan!$L$5:$L$76&gt;=BD$5)*(ROW(Plan!$A$5:$A$76)-4))))</f>
        <v/>
      </c>
      <c r="BE7" s="26">
        <f>IF(SUMPRODUCT(((Plan!$I$5:$I$76="B")+(Plan!$I$5:$I$76="A+B"))*(Plan!$K$5:$K$76&lt;BE$5)*(Plan!$L$5:$L$76&gt;=BE$5))=0,"",INDEX(Plan!$A$5:$A$76,SUMPRODUCT(((Plan!$I$5:$I$76="B")+(Plan!$I$5:$I$76="A+B"))*(Plan!$K$5:$K$76&lt;BE$5)*(Plan!$L$5:$L$76&gt;=BE$5)*(ROW(Plan!$A$5:$A$76)-4))))</f>
        <v/>
      </c>
      <c r="BF7" s="26">
        <f>IF(SUMPRODUCT(((Plan!$I$5:$I$76="B")+(Plan!$I$5:$I$76="A+B"))*(Plan!$K$5:$K$76&lt;BF$5)*(Plan!$L$5:$L$76&gt;=BF$5))=0,"",INDEX(Plan!$A$5:$A$76,SUMPRODUCT(((Plan!$I$5:$I$76="B")+(Plan!$I$5:$I$76="A+B"))*(Plan!$K$5:$K$76&lt;BF$5)*(Plan!$L$5:$L$76&gt;=BF$5)*(ROW(Plan!$A$5:$A$76)-4))))</f>
        <v/>
      </c>
      <c r="BG7" s="26">
        <f>IF(SUMPRODUCT(((Plan!$I$5:$I$76="B")+(Plan!$I$5:$I$76="A+B"))*(Plan!$K$5:$K$76&lt;BG$5)*(Plan!$L$5:$L$76&gt;=BG$5))=0,"",INDEX(Plan!$A$5:$A$76,SUMPRODUCT(((Plan!$I$5:$I$76="B")+(Plan!$I$5:$I$76="A+B"))*(Plan!$K$5:$K$76&lt;BG$5)*(Plan!$L$5:$L$76&gt;=BG$5)*(ROW(Plan!$A$5:$A$76)-4))))</f>
        <v/>
      </c>
      <c r="BH7" s="26">
        <f>IF(SUMPRODUCT(((Plan!$I$5:$I$76="B")+(Plan!$I$5:$I$76="A+B"))*(Plan!$K$5:$K$76&lt;BH$5)*(Plan!$L$5:$L$76&gt;=BH$5))=0,"",INDEX(Plan!$A$5:$A$76,SUMPRODUCT(((Plan!$I$5:$I$76="B")+(Plan!$I$5:$I$76="A+B"))*(Plan!$K$5:$K$76&lt;BH$5)*(Plan!$L$5:$L$76&gt;=BH$5)*(ROW(Plan!$A$5:$A$76)-4))))</f>
        <v/>
      </c>
      <c r="BI7" s="26">
        <f>IF(SUMPRODUCT(((Plan!$I$5:$I$76="B")+(Plan!$I$5:$I$76="A+B"))*(Plan!$K$5:$K$76&lt;BI$5)*(Plan!$L$5:$L$76&gt;=BI$5))=0,"",INDEX(Plan!$A$5:$A$76,SUMPRODUCT(((Plan!$I$5:$I$76="B")+(Plan!$I$5:$I$76="A+B"))*(Plan!$K$5:$K$76&lt;BI$5)*(Plan!$L$5:$L$76&gt;=BI$5)*(ROW(Plan!$A$5:$A$76)-4))))</f>
        <v/>
      </c>
      <c r="BJ7" s="26">
        <f>IF(SUMPRODUCT(((Plan!$I$5:$I$76="B")+(Plan!$I$5:$I$76="A+B"))*(Plan!$K$5:$K$76&lt;BJ$5)*(Plan!$L$5:$L$76&gt;=BJ$5))=0,"",INDEX(Plan!$A$5:$A$76,SUMPRODUCT(((Plan!$I$5:$I$76="B")+(Plan!$I$5:$I$76="A+B"))*(Plan!$K$5:$K$76&lt;BJ$5)*(Plan!$L$5:$L$76&gt;=BJ$5)*(ROW(Plan!$A$5:$A$76)-4))))</f>
        <v/>
      </c>
      <c r="BK7" s="26">
        <f>IF(SUMPRODUCT(((Plan!$I$5:$I$76="B")+(Plan!$I$5:$I$76="A+B"))*(Plan!$K$5:$K$76&lt;BK$5)*(Plan!$L$5:$L$76&gt;=BK$5))=0,"",INDEX(Plan!$A$5:$A$76,SUMPRODUCT(((Plan!$I$5:$I$76="B")+(Plan!$I$5:$I$76="A+B"))*(Plan!$K$5:$K$76&lt;BK$5)*(Plan!$L$5:$L$76&gt;=BK$5)*(ROW(Plan!$A$5:$A$76)-4))))</f>
        <v/>
      </c>
      <c r="BL7" s="26">
        <f>IF(SUMPRODUCT(((Plan!$I$5:$I$76="B")+(Plan!$I$5:$I$76="A+B"))*(Plan!$K$5:$K$76&lt;BL$5)*(Plan!$L$5:$L$76&gt;=BL$5))=0,"",INDEX(Plan!$A$5:$A$76,SUMPRODUCT(((Plan!$I$5:$I$76="B")+(Plan!$I$5:$I$76="A+B"))*(Plan!$K$5:$K$76&lt;BL$5)*(Plan!$L$5:$L$76&gt;=BL$5)*(ROW(Plan!$A$5:$A$76)-4))))</f>
        <v/>
      </c>
      <c r="BM7" s="26">
        <f>IF(SUMPRODUCT(((Plan!$I$5:$I$76="B")+(Plan!$I$5:$I$76="A+B"))*(Plan!$K$5:$K$76&lt;BM$5)*(Plan!$L$5:$L$76&gt;=BM$5))=0,"",INDEX(Plan!$A$5:$A$76,SUMPRODUCT(((Plan!$I$5:$I$76="B")+(Plan!$I$5:$I$76="A+B"))*(Plan!$K$5:$K$76&lt;BM$5)*(Plan!$L$5:$L$76&gt;=BM$5)*(ROW(Plan!$A$5:$A$76)-4))))</f>
        <v/>
      </c>
      <c r="BN7" s="26">
        <f>IF(SUMPRODUCT(((Plan!$I$5:$I$76="B")+(Plan!$I$5:$I$76="A+B"))*(Plan!$K$5:$K$76&lt;BN$5)*(Plan!$L$5:$L$76&gt;=BN$5))=0,"",INDEX(Plan!$A$5:$A$76,SUMPRODUCT(((Plan!$I$5:$I$76="B")+(Plan!$I$5:$I$76="A+B"))*(Plan!$K$5:$K$76&lt;BN$5)*(Plan!$L$5:$L$76&gt;=BN$5)*(ROW(Plan!$A$5:$A$76)-4))))</f>
        <v/>
      </c>
      <c r="BO7" s="26">
        <f>IF(SUMPRODUCT(((Plan!$I$5:$I$76="B")+(Plan!$I$5:$I$76="A+B"))*(Plan!$K$5:$K$76&lt;BO$5)*(Plan!$L$5:$L$76&gt;=BO$5))=0,"",INDEX(Plan!$A$5:$A$76,SUMPRODUCT(((Plan!$I$5:$I$76="B")+(Plan!$I$5:$I$76="A+B"))*(Plan!$K$5:$K$76&lt;BO$5)*(Plan!$L$5:$L$76&gt;=BO$5)*(ROW(Plan!$A$5:$A$76)-4))))</f>
        <v/>
      </c>
      <c r="BP7" s="26">
        <f>IF(SUMPRODUCT(((Plan!$I$5:$I$76="B")+(Plan!$I$5:$I$76="A+B"))*(Plan!$K$5:$K$76&lt;BP$5)*(Plan!$L$5:$L$76&gt;=BP$5))=0,"",INDEX(Plan!$A$5:$A$76,SUMPRODUCT(((Plan!$I$5:$I$76="B")+(Plan!$I$5:$I$76="A+B"))*(Plan!$K$5:$K$76&lt;BP$5)*(Plan!$L$5:$L$76&gt;=BP$5)*(ROW(Plan!$A$5:$A$76)-4))))</f>
        <v/>
      </c>
      <c r="BQ7" s="26">
        <f>IF(SUMPRODUCT(((Plan!$I$5:$I$76="B")+(Plan!$I$5:$I$76="A+B"))*(Plan!$K$5:$K$76&lt;BQ$5)*(Plan!$L$5:$L$76&gt;=BQ$5))=0,"",INDEX(Plan!$A$5:$A$76,SUMPRODUCT(((Plan!$I$5:$I$76="B")+(Plan!$I$5:$I$76="A+B"))*(Plan!$K$5:$K$76&lt;BQ$5)*(Plan!$L$5:$L$76&gt;=BQ$5)*(ROW(Plan!$A$5:$A$76)-4))))</f>
        <v/>
      </c>
      <c r="BR7" s="26">
        <f>IF(SUMPRODUCT(((Plan!$I$5:$I$76="B")+(Plan!$I$5:$I$76="A+B"))*(Plan!$K$5:$K$76&lt;BR$5)*(Plan!$L$5:$L$76&gt;=BR$5))=0,"",INDEX(Plan!$A$5:$A$76,SUMPRODUCT(((Plan!$I$5:$I$76="B")+(Plan!$I$5:$I$76="A+B"))*(Plan!$K$5:$K$76&lt;BR$5)*(Plan!$L$5:$L$76&gt;=BR$5)*(ROW(Plan!$A$5:$A$76)-4))))</f>
        <v/>
      </c>
      <c r="BS7" s="26">
        <f>IF(SUMPRODUCT(((Plan!$I$5:$I$76="B")+(Plan!$I$5:$I$76="A+B"))*(Plan!$K$5:$K$76&lt;BS$5)*(Plan!$L$5:$L$76&gt;=BS$5))=0,"",INDEX(Plan!$A$5:$A$76,SUMPRODUCT(((Plan!$I$5:$I$76="B")+(Plan!$I$5:$I$76="A+B"))*(Plan!$K$5:$K$76&lt;BS$5)*(Plan!$L$5:$L$76&gt;=BS$5)*(ROW(Plan!$A$5:$A$76)-4))))</f>
        <v/>
      </c>
      <c r="BT7" s="26">
        <f>IF(SUMPRODUCT(((Plan!$I$5:$I$76="B")+(Plan!$I$5:$I$76="A+B"))*(Plan!$K$5:$K$76&lt;BT$5)*(Plan!$L$5:$L$76&gt;=BT$5))=0,"",INDEX(Plan!$A$5:$A$76,SUMPRODUCT(((Plan!$I$5:$I$76="B")+(Plan!$I$5:$I$76="A+B"))*(Plan!$K$5:$K$76&lt;BT$5)*(Plan!$L$5:$L$76&gt;=BT$5)*(ROW(Plan!$A$5:$A$76)-4))))</f>
        <v/>
      </c>
      <c r="BU7" s="26">
        <f>IF(SUMPRODUCT(((Plan!$I$5:$I$76="B")+(Plan!$I$5:$I$76="A+B"))*(Plan!$K$5:$K$76&lt;BU$5)*(Plan!$L$5:$L$76&gt;=BU$5))=0,"",INDEX(Plan!$A$5:$A$76,SUMPRODUCT(((Plan!$I$5:$I$76="B")+(Plan!$I$5:$I$76="A+B"))*(Plan!$K$5:$K$76&lt;BU$5)*(Plan!$L$5:$L$76&gt;=BU$5)*(ROW(Plan!$A$5:$A$76)-4))))</f>
        <v/>
      </c>
      <c r="BV7" s="26">
        <f>IF(SUMPRODUCT(((Plan!$I$5:$I$76="B")+(Plan!$I$5:$I$76="A+B"))*(Plan!$K$5:$K$76&lt;BV$5)*(Plan!$L$5:$L$76&gt;=BV$5))=0,"",INDEX(Plan!$A$5:$A$76,SUMPRODUCT(((Plan!$I$5:$I$76="B")+(Plan!$I$5:$I$76="A+B"))*(Plan!$K$5:$K$76&lt;BV$5)*(Plan!$L$5:$L$76&gt;=BV$5)*(ROW(Plan!$A$5:$A$76)-4))))</f>
        <v/>
      </c>
      <c r="BW7" s="26">
        <f>IF(SUMPRODUCT(((Plan!$I$5:$I$76="B")+(Plan!$I$5:$I$76="A+B"))*(Plan!$K$5:$K$76&lt;BW$5)*(Plan!$L$5:$L$76&gt;=BW$5))=0,"",INDEX(Plan!$A$5:$A$76,SUMPRODUCT(((Plan!$I$5:$I$76="B")+(Plan!$I$5:$I$76="A+B"))*(Plan!$K$5:$K$76&lt;BW$5)*(Plan!$L$5:$L$76&gt;=BW$5)*(ROW(Plan!$A$5:$A$76)-4))))</f>
        <v/>
      </c>
      <c r="BX7" s="26">
        <f>IF(SUMPRODUCT(((Plan!$I$5:$I$76="B")+(Plan!$I$5:$I$76="A+B"))*(Plan!$K$5:$K$76&lt;BX$5)*(Plan!$L$5:$L$76&gt;=BX$5))=0,"",INDEX(Plan!$A$5:$A$76,SUMPRODUCT(((Plan!$I$5:$I$76="B")+(Plan!$I$5:$I$76="A+B"))*(Plan!$K$5:$K$76&lt;BX$5)*(Plan!$L$5:$L$76&gt;=BX$5)*(ROW(Plan!$A$5:$A$76)-4))))</f>
        <v/>
      </c>
      <c r="BY7" s="26">
        <f>IF(SUMPRODUCT(((Plan!$I$5:$I$76="B")+(Plan!$I$5:$I$76="A+B"))*(Plan!$K$5:$K$76&lt;BY$5)*(Plan!$L$5:$L$76&gt;=BY$5))=0,"",INDEX(Plan!$A$5:$A$76,SUMPRODUCT(((Plan!$I$5:$I$76="B")+(Plan!$I$5:$I$76="A+B"))*(Plan!$K$5:$K$76&lt;BY$5)*(Plan!$L$5:$L$76&gt;=BY$5)*(ROW(Plan!$A$5:$A$76)-4))))</f>
        <v/>
      </c>
      <c r="BZ7" s="26">
        <f>IF(SUMPRODUCT(((Plan!$I$5:$I$76="B")+(Plan!$I$5:$I$76="A+B"))*(Plan!$K$5:$K$76&lt;BZ$5)*(Plan!$L$5:$L$76&gt;=BZ$5))=0,"",INDEX(Plan!$A$5:$A$76,SUMPRODUCT(((Plan!$I$5:$I$76="B")+(Plan!$I$5:$I$76="A+B"))*(Plan!$K$5:$K$76&lt;BZ$5)*(Plan!$L$5:$L$76&gt;=BZ$5)*(ROW(Plan!$A$5:$A$76)-4))))</f>
        <v/>
      </c>
      <c r="CA7" s="26">
        <f>IF(SUMPRODUCT(((Plan!$I$5:$I$76="B")+(Plan!$I$5:$I$76="A+B"))*(Plan!$K$5:$K$76&lt;CA$5)*(Plan!$L$5:$L$76&gt;=CA$5))=0,"",INDEX(Plan!$A$5:$A$76,SUMPRODUCT(((Plan!$I$5:$I$76="B")+(Plan!$I$5:$I$76="A+B"))*(Plan!$K$5:$K$76&lt;CA$5)*(Plan!$L$5:$L$76&gt;=CA$5)*(ROW(Plan!$A$5:$A$76)-4))))</f>
        <v/>
      </c>
      <c r="CB7" s="26">
        <f>IF(SUMPRODUCT(((Plan!$I$5:$I$76="B")+(Plan!$I$5:$I$76="A+B"))*(Plan!$K$5:$K$76&lt;CB$5)*(Plan!$L$5:$L$76&gt;=CB$5))=0,"",INDEX(Plan!$A$5:$A$76,SUMPRODUCT(((Plan!$I$5:$I$76="B")+(Plan!$I$5:$I$76="A+B"))*(Plan!$K$5:$K$76&lt;CB$5)*(Plan!$L$5:$L$76&gt;=CB$5)*(ROW(Plan!$A$5:$A$76)-4))))</f>
        <v/>
      </c>
      <c r="CC7" s="26">
        <f>IF(SUMPRODUCT(((Plan!$I$5:$I$76="B")+(Plan!$I$5:$I$76="A+B"))*(Plan!$K$5:$K$76&lt;CC$5)*(Plan!$L$5:$L$76&gt;=CC$5))=0,"",INDEX(Plan!$A$5:$A$76,SUMPRODUCT(((Plan!$I$5:$I$76="B")+(Plan!$I$5:$I$76="A+B"))*(Plan!$K$5:$K$76&lt;CC$5)*(Plan!$L$5:$L$76&gt;=CC$5)*(ROW(Plan!$A$5:$A$76)-4))))</f>
        <v/>
      </c>
      <c r="CD7" s="26">
        <f>IF(SUMPRODUCT(((Plan!$I$5:$I$76="B")+(Plan!$I$5:$I$76="A+B"))*(Plan!$K$5:$K$76&lt;CD$5)*(Plan!$L$5:$L$76&gt;=CD$5))=0,"",INDEX(Plan!$A$5:$A$76,SUMPRODUCT(((Plan!$I$5:$I$76="B")+(Plan!$I$5:$I$76="A+B"))*(Plan!$K$5:$K$76&lt;CD$5)*(Plan!$L$5:$L$76&gt;=CD$5)*(ROW(Plan!$A$5:$A$76)-4))))</f>
        <v/>
      </c>
      <c r="CE7" s="26">
        <f>IF(SUMPRODUCT(((Plan!$I$5:$I$76="B")+(Plan!$I$5:$I$76="A+B"))*(Plan!$K$5:$K$76&lt;CE$5)*(Plan!$L$5:$L$76&gt;=CE$5))=0,"",INDEX(Plan!$A$5:$A$76,SUMPRODUCT(((Plan!$I$5:$I$76="B")+(Plan!$I$5:$I$76="A+B"))*(Plan!$K$5:$K$76&lt;CE$5)*(Plan!$L$5:$L$76&gt;=CE$5)*(ROW(Plan!$A$5:$A$76)-4))))</f>
        <v/>
      </c>
      <c r="CF7" s="26">
        <f>IF(SUMPRODUCT(((Plan!$I$5:$I$76="B")+(Plan!$I$5:$I$76="A+B"))*(Plan!$K$5:$K$76&lt;CF$5)*(Plan!$L$5:$L$76&gt;=CF$5))=0,"",INDEX(Plan!$A$5:$A$76,SUMPRODUCT(((Plan!$I$5:$I$76="B")+(Plan!$I$5:$I$76="A+B"))*(Plan!$K$5:$K$76&lt;CF$5)*(Plan!$L$5:$L$76&gt;=CF$5)*(ROW(Plan!$A$5:$A$76)-4))))</f>
        <v/>
      </c>
      <c r="CG7" s="26">
        <f>IF(SUMPRODUCT(((Plan!$I$5:$I$76="B")+(Plan!$I$5:$I$76="A+B"))*(Plan!$K$5:$K$76&lt;CG$5)*(Plan!$L$5:$L$76&gt;=CG$5))=0,"",INDEX(Plan!$A$5:$A$76,SUMPRODUCT(((Plan!$I$5:$I$76="B")+(Plan!$I$5:$I$76="A+B"))*(Plan!$K$5:$K$76&lt;CG$5)*(Plan!$L$5:$L$76&gt;=CG$5)*(ROW(Plan!$A$5:$A$76)-4))))</f>
        <v/>
      </c>
      <c r="CH7" s="26">
        <f>IF(SUMPRODUCT(((Plan!$I$5:$I$76="B")+(Plan!$I$5:$I$76="A+B"))*(Plan!$K$5:$K$76&lt;CH$5)*(Plan!$L$5:$L$76&gt;=CH$5))=0,"",INDEX(Plan!$A$5:$A$76,SUMPRODUCT(((Plan!$I$5:$I$76="B")+(Plan!$I$5:$I$76="A+B"))*(Plan!$K$5:$K$76&lt;CH$5)*(Plan!$L$5:$L$76&gt;=CH$5)*(ROW(Plan!$A$5:$A$76)-4))))</f>
        <v/>
      </c>
      <c r="CI7" s="26">
        <f>IF(SUMPRODUCT(((Plan!$I$5:$I$76="B")+(Plan!$I$5:$I$76="A+B"))*(Plan!$K$5:$K$76&lt;CI$5)*(Plan!$L$5:$L$76&gt;=CI$5))=0,"",INDEX(Plan!$A$5:$A$76,SUMPRODUCT(((Plan!$I$5:$I$76="B")+(Plan!$I$5:$I$76="A+B"))*(Plan!$K$5:$K$76&lt;CI$5)*(Plan!$L$5:$L$76&gt;=CI$5)*(ROW(Plan!$A$5:$A$76)-4))))</f>
        <v/>
      </c>
      <c r="CJ7" s="26">
        <f>IF(SUMPRODUCT(((Plan!$I$5:$I$76="B")+(Plan!$I$5:$I$76="A+B"))*(Plan!$K$5:$K$76&lt;CJ$5)*(Plan!$L$5:$L$76&gt;=CJ$5))=0,"",INDEX(Plan!$A$5:$A$76,SUMPRODUCT(((Plan!$I$5:$I$76="B")+(Plan!$I$5:$I$76="A+B"))*(Plan!$K$5:$K$76&lt;CJ$5)*(Plan!$L$5:$L$76&gt;=CJ$5)*(ROW(Plan!$A$5:$A$76)-4))))</f>
        <v/>
      </c>
      <c r="CK7" s="26">
        <f>IF(SUMPRODUCT(((Plan!$I$5:$I$76="B")+(Plan!$I$5:$I$76="A+B"))*(Plan!$K$5:$K$76&lt;CK$5)*(Plan!$L$5:$L$76&gt;=CK$5))=0,"",INDEX(Plan!$A$5:$A$76,SUMPRODUCT(((Plan!$I$5:$I$76="B")+(Plan!$I$5:$I$76="A+B"))*(Plan!$K$5:$K$76&lt;CK$5)*(Plan!$L$5:$L$76&gt;=CK$5)*(ROW(Plan!$A$5:$A$76)-4))))</f>
        <v/>
      </c>
      <c r="CL7" s="26">
        <f>IF(SUMPRODUCT(((Plan!$I$5:$I$76="B")+(Plan!$I$5:$I$76="A+B"))*(Plan!$K$5:$K$76&lt;CL$5)*(Plan!$L$5:$L$76&gt;=CL$5))=0,"",INDEX(Plan!$A$5:$A$76,SUMPRODUCT(((Plan!$I$5:$I$76="B")+(Plan!$I$5:$I$76="A+B"))*(Plan!$K$5:$K$76&lt;CL$5)*(Plan!$L$5:$L$76&gt;=CL$5)*(ROW(Plan!$A$5:$A$76)-4))))</f>
        <v/>
      </c>
      <c r="CM7" s="26">
        <f>IF(SUMPRODUCT(((Plan!$I$5:$I$76="B")+(Plan!$I$5:$I$76="A+B"))*(Plan!$K$5:$K$76&lt;CM$5)*(Plan!$L$5:$L$76&gt;=CM$5))=0,"",INDEX(Plan!$A$5:$A$76,SUMPRODUCT(((Plan!$I$5:$I$76="B")+(Plan!$I$5:$I$76="A+B"))*(Plan!$K$5:$K$76&lt;CM$5)*(Plan!$L$5:$L$76&gt;=CM$5)*(ROW(Plan!$A$5:$A$76)-4))))</f>
        <v/>
      </c>
      <c r="CN7" s="26">
        <f>IF(SUMPRODUCT(((Plan!$I$5:$I$76="B")+(Plan!$I$5:$I$76="A+B"))*(Plan!$K$5:$K$76&lt;CN$5)*(Plan!$L$5:$L$76&gt;=CN$5))=0,"",INDEX(Plan!$A$5:$A$76,SUMPRODUCT(((Plan!$I$5:$I$76="B")+(Plan!$I$5:$I$76="A+B"))*(Plan!$K$5:$K$76&lt;CN$5)*(Plan!$L$5:$L$76&gt;=CN$5)*(ROW(Plan!$A$5:$A$76)-4))))</f>
        <v/>
      </c>
      <c r="CO7" s="26">
        <f>IF(SUMPRODUCT(((Plan!$I$5:$I$76="B")+(Plan!$I$5:$I$76="A+B"))*(Plan!$K$5:$K$76&lt;CO$5)*(Plan!$L$5:$L$76&gt;=CO$5))=0,"",INDEX(Plan!$A$5:$A$76,SUMPRODUCT(((Plan!$I$5:$I$76="B")+(Plan!$I$5:$I$76="A+B"))*(Plan!$K$5:$K$76&lt;CO$5)*(Plan!$L$5:$L$76&gt;=CO$5)*(ROW(Plan!$A$5:$A$76)-4))))</f>
        <v/>
      </c>
      <c r="CP7" s="26">
        <f>IF(SUMPRODUCT(((Plan!$I$5:$I$76="B")+(Plan!$I$5:$I$76="A+B"))*(Plan!$K$5:$K$76&lt;CP$5)*(Plan!$L$5:$L$76&gt;=CP$5))=0,"",INDEX(Plan!$A$5:$A$76,SUMPRODUCT(((Plan!$I$5:$I$76="B")+(Plan!$I$5:$I$76="A+B"))*(Plan!$K$5:$K$76&lt;CP$5)*(Plan!$L$5:$L$76&gt;=CP$5)*(ROW(Plan!$A$5:$A$76)-4))))</f>
        <v/>
      </c>
      <c r="CQ7" s="26">
        <f>IF(SUMPRODUCT(((Plan!$I$5:$I$76="B")+(Plan!$I$5:$I$76="A+B"))*(Plan!$K$5:$K$76&lt;CQ$5)*(Plan!$L$5:$L$76&gt;=CQ$5))=0,"",INDEX(Plan!$A$5:$A$76,SUMPRODUCT(((Plan!$I$5:$I$76="B")+(Plan!$I$5:$I$76="A+B"))*(Plan!$K$5:$K$76&lt;CQ$5)*(Plan!$L$5:$L$76&gt;=CQ$5)*(ROW(Plan!$A$5:$A$76)-4))))</f>
        <v/>
      </c>
      <c r="CR7" s="26">
        <f>IF(SUMPRODUCT(((Plan!$I$5:$I$76="B")+(Plan!$I$5:$I$76="A+B"))*(Plan!$K$5:$K$76&lt;CR$5)*(Plan!$L$5:$L$76&gt;=CR$5))=0,"",INDEX(Plan!$A$5:$A$76,SUMPRODUCT(((Plan!$I$5:$I$76="B")+(Plan!$I$5:$I$76="A+B"))*(Plan!$K$5:$K$76&lt;CR$5)*(Plan!$L$5:$L$76&gt;=CR$5)*(ROW(Plan!$A$5:$A$76)-4))))</f>
        <v/>
      </c>
      <c r="CS7" s="26">
        <f>IF(SUMPRODUCT(((Plan!$I$5:$I$76="B")+(Plan!$I$5:$I$76="A+B"))*(Plan!$K$5:$K$76&lt;CS$5)*(Plan!$L$5:$L$76&gt;=CS$5))=0,"",INDEX(Plan!$A$5:$A$76,SUMPRODUCT(((Plan!$I$5:$I$76="B")+(Plan!$I$5:$I$76="A+B"))*(Plan!$K$5:$K$76&lt;CS$5)*(Plan!$L$5:$L$76&gt;=CS$5)*(ROW(Plan!$A$5:$A$76)-4))))</f>
        <v/>
      </c>
    </row>
    <row r="8"/>
    <row r="9">
      <c r="A9" s="27" t="inlineStr">
        <is>
          <t>Fase 1. Diseño y arquitectura</t>
        </is>
      </c>
      <c r="B9" s="28" t="n"/>
      <c r="C9" s="28" t="n"/>
      <c r="D9" s="28" t="n"/>
      <c r="E9" s="29">
        <f>SUMPRODUCT(MIN((Plan!$B$5:$B$76="1. Diseño y arquitectura")*Plan!$K$5:$K$76+(Plan!$B$5:$B$76&lt;&gt;"1. Diseño y arquitectura")*1E9))</f>
        <v/>
      </c>
      <c r="F9" s="29">
        <f>SUMPRODUCT(MAX((Plan!$B$5:$B$76="1. Diseño y arquitectura")*Plan!$L$5:$L$76))</f>
        <v/>
      </c>
      <c r="G9" s="30">
        <f>Resumen!E29</f>
        <v/>
      </c>
      <c r="H9" s="31" t="n"/>
      <c r="I9" s="31" t="n"/>
      <c r="J9" s="31" t="n"/>
      <c r="K9" s="31" t="n"/>
      <c r="L9" s="31" t="n"/>
      <c r="M9" s="31" t="n"/>
      <c r="N9" s="31" t="n"/>
      <c r="O9" s="31" t="n"/>
      <c r="P9" s="31" t="n"/>
      <c r="Q9" s="31" t="n"/>
      <c r="R9" s="31" t="n"/>
      <c r="S9" s="31" t="n"/>
      <c r="T9" s="31" t="n"/>
      <c r="U9" s="31" t="n"/>
      <c r="V9" s="31" t="n"/>
      <c r="W9" s="31" t="n"/>
      <c r="X9" s="31" t="n"/>
      <c r="Y9" s="31" t="n"/>
      <c r="Z9" s="31" t="n"/>
      <c r="AA9" s="31" t="n"/>
      <c r="AB9" s="31" t="n"/>
      <c r="AC9" s="31" t="n"/>
      <c r="AD9" s="31" t="n"/>
      <c r="AE9" s="31" t="n"/>
      <c r="AF9" s="31" t="n"/>
      <c r="AG9" s="31" t="n"/>
      <c r="AH9" s="31" t="n"/>
      <c r="AI9" s="31" t="n"/>
      <c r="AJ9" s="31" t="n"/>
      <c r="AK9" s="31" t="n"/>
      <c r="AL9" s="31" t="n"/>
      <c r="AM9" s="31" t="n"/>
      <c r="AN9" s="31" t="n"/>
      <c r="AO9" s="31" t="n"/>
      <c r="AP9" s="31" t="n"/>
      <c r="AQ9" s="31" t="n"/>
      <c r="AR9" s="31" t="n"/>
      <c r="AS9" s="31" t="n"/>
      <c r="AT9" s="31" t="n"/>
      <c r="AU9" s="31" t="n"/>
      <c r="AV9" s="31" t="n"/>
      <c r="AW9" s="31" t="n"/>
      <c r="AX9" s="31" t="n"/>
      <c r="AY9" s="31" t="n"/>
      <c r="AZ9" s="31" t="n"/>
      <c r="BA9" s="31" t="n"/>
      <c r="BB9" s="31" t="n"/>
      <c r="BC9" s="31" t="n"/>
      <c r="BD9" s="31" t="n"/>
      <c r="BE9" s="31" t="n"/>
      <c r="BF9" s="31" t="n"/>
      <c r="BG9" s="31" t="n"/>
      <c r="BH9" s="31" t="n"/>
      <c r="BI9" s="31" t="n"/>
      <c r="BJ9" s="31" t="n"/>
      <c r="BK9" s="31" t="n"/>
      <c r="BL9" s="31" t="n"/>
      <c r="BM9" s="31" t="n"/>
      <c r="BN9" s="31" t="n"/>
      <c r="BO9" s="31" t="n"/>
      <c r="BP9" s="31" t="n"/>
      <c r="BQ9" s="31" t="n"/>
      <c r="BR9" s="31" t="n"/>
      <c r="BS9" s="31" t="n"/>
      <c r="BT9" s="31" t="n"/>
      <c r="BU9" s="31" t="n"/>
      <c r="BV9" s="31" t="n"/>
      <c r="BW9" s="31" t="n"/>
      <c r="BX9" s="31" t="n"/>
      <c r="BY9" s="31" t="n"/>
      <c r="BZ9" s="31" t="n"/>
      <c r="CA9" s="31" t="n"/>
      <c r="CB9" s="31" t="n"/>
      <c r="CC9" s="31" t="n"/>
      <c r="CD9" s="31" t="n"/>
      <c r="CE9" s="31" t="n"/>
      <c r="CF9" s="31" t="n"/>
      <c r="CG9" s="31" t="n"/>
      <c r="CH9" s="31" t="n"/>
      <c r="CI9" s="31" t="n"/>
      <c r="CJ9" s="31" t="n"/>
      <c r="CK9" s="31" t="n"/>
      <c r="CL9" s="31" t="n"/>
      <c r="CM9" s="31" t="n"/>
      <c r="CN9" s="31" t="n"/>
      <c r="CO9" s="31" t="n"/>
      <c r="CP9" s="31" t="n"/>
      <c r="CQ9" s="31" t="n"/>
      <c r="CR9" s="31" t="n"/>
      <c r="CS9" s="31" t="n"/>
    </row>
    <row r="10">
      <c r="A10" s="32">
        <f>Plan!A5</f>
        <v/>
      </c>
      <c r="B10" s="33">
        <f>Plan!C5</f>
        <v/>
      </c>
      <c r="C10" s="16">
        <f>Plan!D5</f>
        <v/>
      </c>
      <c r="D10" s="16">
        <f>Plan!I5</f>
        <v/>
      </c>
      <c r="E10" s="16">
        <f>Plan!K5</f>
        <v/>
      </c>
      <c r="F10" s="16">
        <f>Plan!L5</f>
        <v/>
      </c>
      <c r="G10" s="16">
        <f>Plan!O5</f>
        <v/>
      </c>
      <c r="H10" s="34">
        <f>IF(AND(H$5&gt;$E10,H$5&lt;=$F10),IF(H$5=$E10+1,$C10,""),"")</f>
        <v/>
      </c>
      <c r="I10" s="34">
        <f>IF(AND(I$5&gt;$E10,I$5&lt;=$F10),IF(I$5=$E10+1,$C10,""),"")</f>
        <v/>
      </c>
      <c r="J10" s="34">
        <f>IF(AND(J$5&gt;$E10,J$5&lt;=$F10),IF(J$5=$E10+1,$C10,""),"")</f>
        <v/>
      </c>
      <c r="K10" s="34">
        <f>IF(AND(K$5&gt;$E10,K$5&lt;=$F10),IF(K$5=$E10+1,$C10,""),"")</f>
        <v/>
      </c>
      <c r="L10" s="34">
        <f>IF(AND(L$5&gt;$E10,L$5&lt;=$F10),IF(L$5=$E10+1,$C10,""),"")</f>
        <v/>
      </c>
      <c r="M10" s="34">
        <f>IF(AND(M$5&gt;$E10,M$5&lt;=$F10),IF(M$5=$E10+1,$C10,""),"")</f>
        <v/>
      </c>
      <c r="N10" s="34">
        <f>IF(AND(N$5&gt;$E10,N$5&lt;=$F10),IF(N$5=$E10+1,$C10,""),"")</f>
        <v/>
      </c>
      <c r="O10" s="34">
        <f>IF(AND(O$5&gt;$E10,O$5&lt;=$F10),IF(O$5=$E10+1,$C10,""),"")</f>
        <v/>
      </c>
      <c r="P10" s="34">
        <f>IF(AND(P$5&gt;$E10,P$5&lt;=$F10),IF(P$5=$E10+1,$C10,""),"")</f>
        <v/>
      </c>
      <c r="Q10" s="34">
        <f>IF(AND(Q$5&gt;$E10,Q$5&lt;=$F10),IF(Q$5=$E10+1,$C10,""),"")</f>
        <v/>
      </c>
      <c r="R10" s="34">
        <f>IF(AND(R$5&gt;$E10,R$5&lt;=$F10),IF(R$5=$E10+1,$C10,""),"")</f>
        <v/>
      </c>
      <c r="S10" s="34">
        <f>IF(AND(S$5&gt;$E10,S$5&lt;=$F10),IF(S$5=$E10+1,$C10,""),"")</f>
        <v/>
      </c>
      <c r="T10" s="34">
        <f>IF(AND(T$5&gt;$E10,T$5&lt;=$F10),IF(T$5=$E10+1,$C10,""),"")</f>
        <v/>
      </c>
      <c r="U10" s="34">
        <f>IF(AND(U$5&gt;$E10,U$5&lt;=$F10),IF(U$5=$E10+1,$C10,""),"")</f>
        <v/>
      </c>
      <c r="V10" s="34">
        <f>IF(AND(V$5&gt;$E10,V$5&lt;=$F10),IF(V$5=$E10+1,$C10,""),"")</f>
        <v/>
      </c>
      <c r="W10" s="34">
        <f>IF(AND(W$5&gt;$E10,W$5&lt;=$F10),IF(W$5=$E10+1,$C10,""),"")</f>
        <v/>
      </c>
      <c r="X10" s="34">
        <f>IF(AND(X$5&gt;$E10,X$5&lt;=$F10),IF(X$5=$E10+1,$C10,""),"")</f>
        <v/>
      </c>
      <c r="Y10" s="34">
        <f>IF(AND(Y$5&gt;$E10,Y$5&lt;=$F10),IF(Y$5=$E10+1,$C10,""),"")</f>
        <v/>
      </c>
      <c r="Z10" s="34">
        <f>IF(AND(Z$5&gt;$E10,Z$5&lt;=$F10),IF(Z$5=$E10+1,$C10,""),"")</f>
        <v/>
      </c>
      <c r="AA10" s="34">
        <f>IF(AND(AA$5&gt;$E10,AA$5&lt;=$F10),IF(AA$5=$E10+1,$C10,""),"")</f>
        <v/>
      </c>
      <c r="AB10" s="34">
        <f>IF(AND(AB$5&gt;$E10,AB$5&lt;=$F10),IF(AB$5=$E10+1,$C10,""),"")</f>
        <v/>
      </c>
      <c r="AC10" s="34">
        <f>IF(AND(AC$5&gt;$E10,AC$5&lt;=$F10),IF(AC$5=$E10+1,$C10,""),"")</f>
        <v/>
      </c>
      <c r="AD10" s="34">
        <f>IF(AND(AD$5&gt;$E10,AD$5&lt;=$F10),IF(AD$5=$E10+1,$C10,""),"")</f>
        <v/>
      </c>
      <c r="AE10" s="34">
        <f>IF(AND(AE$5&gt;$E10,AE$5&lt;=$F10),IF(AE$5=$E10+1,$C10,""),"")</f>
        <v/>
      </c>
      <c r="AF10" s="34">
        <f>IF(AND(AF$5&gt;$E10,AF$5&lt;=$F10),IF(AF$5=$E10+1,$C10,""),"")</f>
        <v/>
      </c>
      <c r="AG10" s="34">
        <f>IF(AND(AG$5&gt;$E10,AG$5&lt;=$F10),IF(AG$5=$E10+1,$C10,""),"")</f>
        <v/>
      </c>
      <c r="AH10" s="34">
        <f>IF(AND(AH$5&gt;$E10,AH$5&lt;=$F10),IF(AH$5=$E10+1,$C10,""),"")</f>
        <v/>
      </c>
      <c r="AI10" s="34">
        <f>IF(AND(AI$5&gt;$E10,AI$5&lt;=$F10),IF(AI$5=$E10+1,$C10,""),"")</f>
        <v/>
      </c>
      <c r="AJ10" s="34">
        <f>IF(AND(AJ$5&gt;$E10,AJ$5&lt;=$F10),IF(AJ$5=$E10+1,$C10,""),"")</f>
        <v/>
      </c>
      <c r="AK10" s="34">
        <f>IF(AND(AK$5&gt;$E10,AK$5&lt;=$F10),IF(AK$5=$E10+1,$C10,""),"")</f>
        <v/>
      </c>
      <c r="AL10" s="34">
        <f>IF(AND(AL$5&gt;$E10,AL$5&lt;=$F10),IF(AL$5=$E10+1,$C10,""),"")</f>
        <v/>
      </c>
      <c r="AM10" s="34">
        <f>IF(AND(AM$5&gt;$E10,AM$5&lt;=$F10),IF(AM$5=$E10+1,$C10,""),"")</f>
        <v/>
      </c>
      <c r="AN10" s="34">
        <f>IF(AND(AN$5&gt;$E10,AN$5&lt;=$F10),IF(AN$5=$E10+1,$C10,""),"")</f>
        <v/>
      </c>
      <c r="AO10" s="34">
        <f>IF(AND(AO$5&gt;$E10,AO$5&lt;=$F10),IF(AO$5=$E10+1,$C10,""),"")</f>
        <v/>
      </c>
      <c r="AP10" s="34">
        <f>IF(AND(AP$5&gt;$E10,AP$5&lt;=$F10),IF(AP$5=$E10+1,$C10,""),"")</f>
        <v/>
      </c>
      <c r="AQ10" s="34">
        <f>IF(AND(AQ$5&gt;$E10,AQ$5&lt;=$F10),IF(AQ$5=$E10+1,$C10,""),"")</f>
        <v/>
      </c>
      <c r="AR10" s="34">
        <f>IF(AND(AR$5&gt;$E10,AR$5&lt;=$F10),IF(AR$5=$E10+1,$C10,""),"")</f>
        <v/>
      </c>
      <c r="AS10" s="34">
        <f>IF(AND(AS$5&gt;$E10,AS$5&lt;=$F10),IF(AS$5=$E10+1,$C10,""),"")</f>
        <v/>
      </c>
      <c r="AT10" s="34">
        <f>IF(AND(AT$5&gt;$E10,AT$5&lt;=$F10),IF(AT$5=$E10+1,$C10,""),"")</f>
        <v/>
      </c>
      <c r="AU10" s="34">
        <f>IF(AND(AU$5&gt;$E10,AU$5&lt;=$F10),IF(AU$5=$E10+1,$C10,""),"")</f>
        <v/>
      </c>
      <c r="AV10" s="34">
        <f>IF(AND(AV$5&gt;$E10,AV$5&lt;=$F10),IF(AV$5=$E10+1,$C10,""),"")</f>
        <v/>
      </c>
      <c r="AW10" s="34">
        <f>IF(AND(AW$5&gt;$E10,AW$5&lt;=$F10),IF(AW$5=$E10+1,$C10,""),"")</f>
        <v/>
      </c>
      <c r="AX10" s="34">
        <f>IF(AND(AX$5&gt;$E10,AX$5&lt;=$F10),IF(AX$5=$E10+1,$C10,""),"")</f>
        <v/>
      </c>
      <c r="AY10" s="34">
        <f>IF(AND(AY$5&gt;$E10,AY$5&lt;=$F10),IF(AY$5=$E10+1,$C10,""),"")</f>
        <v/>
      </c>
      <c r="AZ10" s="34">
        <f>IF(AND(AZ$5&gt;$E10,AZ$5&lt;=$F10),IF(AZ$5=$E10+1,$C10,""),"")</f>
        <v/>
      </c>
      <c r="BA10" s="34">
        <f>IF(AND(BA$5&gt;$E10,BA$5&lt;=$F10),IF(BA$5=$E10+1,$C10,""),"")</f>
        <v/>
      </c>
      <c r="BB10" s="34">
        <f>IF(AND(BB$5&gt;$E10,BB$5&lt;=$F10),IF(BB$5=$E10+1,$C10,""),"")</f>
        <v/>
      </c>
      <c r="BC10" s="34">
        <f>IF(AND(BC$5&gt;$E10,BC$5&lt;=$F10),IF(BC$5=$E10+1,$C10,""),"")</f>
        <v/>
      </c>
      <c r="BD10" s="34">
        <f>IF(AND(BD$5&gt;$E10,BD$5&lt;=$F10),IF(BD$5=$E10+1,$C10,""),"")</f>
        <v/>
      </c>
      <c r="BE10" s="34">
        <f>IF(AND(BE$5&gt;$E10,BE$5&lt;=$F10),IF(BE$5=$E10+1,$C10,""),"")</f>
        <v/>
      </c>
      <c r="BF10" s="34">
        <f>IF(AND(BF$5&gt;$E10,BF$5&lt;=$F10),IF(BF$5=$E10+1,$C10,""),"")</f>
        <v/>
      </c>
      <c r="BG10" s="34">
        <f>IF(AND(BG$5&gt;$E10,BG$5&lt;=$F10),IF(BG$5=$E10+1,$C10,""),"")</f>
        <v/>
      </c>
      <c r="BH10" s="34">
        <f>IF(AND(BH$5&gt;$E10,BH$5&lt;=$F10),IF(BH$5=$E10+1,$C10,""),"")</f>
        <v/>
      </c>
      <c r="BI10" s="34">
        <f>IF(AND(BI$5&gt;$E10,BI$5&lt;=$F10),IF(BI$5=$E10+1,$C10,""),"")</f>
        <v/>
      </c>
      <c r="BJ10" s="34">
        <f>IF(AND(BJ$5&gt;$E10,BJ$5&lt;=$F10),IF(BJ$5=$E10+1,$C10,""),"")</f>
        <v/>
      </c>
      <c r="BK10" s="34">
        <f>IF(AND(BK$5&gt;$E10,BK$5&lt;=$F10),IF(BK$5=$E10+1,$C10,""),"")</f>
        <v/>
      </c>
      <c r="BL10" s="34">
        <f>IF(AND(BL$5&gt;$E10,BL$5&lt;=$F10),IF(BL$5=$E10+1,$C10,""),"")</f>
        <v/>
      </c>
      <c r="BM10" s="34">
        <f>IF(AND(BM$5&gt;$E10,BM$5&lt;=$F10),IF(BM$5=$E10+1,$C10,""),"")</f>
        <v/>
      </c>
      <c r="BN10" s="34">
        <f>IF(AND(BN$5&gt;$E10,BN$5&lt;=$F10),IF(BN$5=$E10+1,$C10,""),"")</f>
        <v/>
      </c>
      <c r="BO10" s="34">
        <f>IF(AND(BO$5&gt;$E10,BO$5&lt;=$F10),IF(BO$5=$E10+1,$C10,""),"")</f>
        <v/>
      </c>
      <c r="BP10" s="34">
        <f>IF(AND(BP$5&gt;$E10,BP$5&lt;=$F10),IF(BP$5=$E10+1,$C10,""),"")</f>
        <v/>
      </c>
      <c r="BQ10" s="34">
        <f>IF(AND(BQ$5&gt;$E10,BQ$5&lt;=$F10),IF(BQ$5=$E10+1,$C10,""),"")</f>
        <v/>
      </c>
      <c r="BR10" s="34">
        <f>IF(AND(BR$5&gt;$E10,BR$5&lt;=$F10),IF(BR$5=$E10+1,$C10,""),"")</f>
        <v/>
      </c>
      <c r="BS10" s="34">
        <f>IF(AND(BS$5&gt;$E10,BS$5&lt;=$F10),IF(BS$5=$E10+1,$C10,""),"")</f>
        <v/>
      </c>
      <c r="BT10" s="34">
        <f>IF(AND(BT$5&gt;$E10,BT$5&lt;=$F10),IF(BT$5=$E10+1,$C10,""),"")</f>
        <v/>
      </c>
      <c r="BU10" s="34">
        <f>IF(AND(BU$5&gt;$E10,BU$5&lt;=$F10),IF(BU$5=$E10+1,$C10,""),"")</f>
        <v/>
      </c>
      <c r="BV10" s="34">
        <f>IF(AND(BV$5&gt;$E10,BV$5&lt;=$F10),IF(BV$5=$E10+1,$C10,""),"")</f>
        <v/>
      </c>
      <c r="BW10" s="34">
        <f>IF(AND(BW$5&gt;$E10,BW$5&lt;=$F10),IF(BW$5=$E10+1,$C10,""),"")</f>
        <v/>
      </c>
      <c r="BX10" s="34">
        <f>IF(AND(BX$5&gt;$E10,BX$5&lt;=$F10),IF(BX$5=$E10+1,$C10,""),"")</f>
        <v/>
      </c>
      <c r="BY10" s="34">
        <f>IF(AND(BY$5&gt;$E10,BY$5&lt;=$F10),IF(BY$5=$E10+1,$C10,""),"")</f>
        <v/>
      </c>
      <c r="BZ10" s="34">
        <f>IF(AND(BZ$5&gt;$E10,BZ$5&lt;=$F10),IF(BZ$5=$E10+1,$C10,""),"")</f>
        <v/>
      </c>
      <c r="CA10" s="34">
        <f>IF(AND(CA$5&gt;$E10,CA$5&lt;=$F10),IF(CA$5=$E10+1,$C10,""),"")</f>
        <v/>
      </c>
      <c r="CB10" s="34">
        <f>IF(AND(CB$5&gt;$E10,CB$5&lt;=$F10),IF(CB$5=$E10+1,$C10,""),"")</f>
        <v/>
      </c>
      <c r="CC10" s="34">
        <f>IF(AND(CC$5&gt;$E10,CC$5&lt;=$F10),IF(CC$5=$E10+1,$C10,""),"")</f>
        <v/>
      </c>
      <c r="CD10" s="34">
        <f>IF(AND(CD$5&gt;$E10,CD$5&lt;=$F10),IF(CD$5=$E10+1,$C10,""),"")</f>
        <v/>
      </c>
      <c r="CE10" s="34">
        <f>IF(AND(CE$5&gt;$E10,CE$5&lt;=$F10),IF(CE$5=$E10+1,$C10,""),"")</f>
        <v/>
      </c>
      <c r="CF10" s="34">
        <f>IF(AND(CF$5&gt;$E10,CF$5&lt;=$F10),IF(CF$5=$E10+1,$C10,""),"")</f>
        <v/>
      </c>
      <c r="CG10" s="34">
        <f>IF(AND(CG$5&gt;$E10,CG$5&lt;=$F10),IF(CG$5=$E10+1,$C10,""),"")</f>
        <v/>
      </c>
      <c r="CH10" s="34">
        <f>IF(AND(CH$5&gt;$E10,CH$5&lt;=$F10),IF(CH$5=$E10+1,$C10,""),"")</f>
        <v/>
      </c>
      <c r="CI10" s="34">
        <f>IF(AND(CI$5&gt;$E10,CI$5&lt;=$F10),IF(CI$5=$E10+1,$C10,""),"")</f>
        <v/>
      </c>
      <c r="CJ10" s="34">
        <f>IF(AND(CJ$5&gt;$E10,CJ$5&lt;=$F10),IF(CJ$5=$E10+1,$C10,""),"")</f>
        <v/>
      </c>
      <c r="CK10" s="34">
        <f>IF(AND(CK$5&gt;$E10,CK$5&lt;=$F10),IF(CK$5=$E10+1,$C10,""),"")</f>
        <v/>
      </c>
      <c r="CL10" s="34">
        <f>IF(AND(CL$5&gt;$E10,CL$5&lt;=$F10),IF(CL$5=$E10+1,$C10,""),"")</f>
        <v/>
      </c>
      <c r="CM10" s="34">
        <f>IF(AND(CM$5&gt;$E10,CM$5&lt;=$F10),IF(CM$5=$E10+1,$C10,""),"")</f>
        <v/>
      </c>
      <c r="CN10" s="34">
        <f>IF(AND(CN$5&gt;$E10,CN$5&lt;=$F10),IF(CN$5=$E10+1,$C10,""),"")</f>
        <v/>
      </c>
      <c r="CO10" s="34">
        <f>IF(AND(CO$5&gt;$E10,CO$5&lt;=$F10),IF(CO$5=$E10+1,$C10,""),"")</f>
        <v/>
      </c>
      <c r="CP10" s="34">
        <f>IF(AND(CP$5&gt;$E10,CP$5&lt;=$F10),IF(CP$5=$E10+1,$C10,""),"")</f>
        <v/>
      </c>
      <c r="CQ10" s="34">
        <f>IF(AND(CQ$5&gt;$E10,CQ$5&lt;=$F10),IF(CQ$5=$E10+1,$C10,""),"")</f>
        <v/>
      </c>
      <c r="CR10" s="34">
        <f>IF(AND(CR$5&gt;$E10,CR$5&lt;=$F10),IF(CR$5=$E10+1,$C10,""),"")</f>
        <v/>
      </c>
      <c r="CS10" s="34">
        <f>IF(AND(CS$5&gt;$E10,CS$5&lt;=$F10),IF(CS$5=$E10+1,$C10,""),"")</f>
        <v/>
      </c>
    </row>
    <row r="11">
      <c r="A11" s="32">
        <f>Plan!A6</f>
        <v/>
      </c>
      <c r="B11" s="33">
        <f>Plan!C6</f>
        <v/>
      </c>
      <c r="C11" s="16">
        <f>Plan!D6</f>
        <v/>
      </c>
      <c r="D11" s="16">
        <f>Plan!I6</f>
        <v/>
      </c>
      <c r="E11" s="16">
        <f>Plan!K6</f>
        <v/>
      </c>
      <c r="F11" s="16">
        <f>Plan!L6</f>
        <v/>
      </c>
      <c r="G11" s="16">
        <f>Plan!O6</f>
        <v/>
      </c>
      <c r="H11" s="34">
        <f>IF(AND(H$5&gt;$E11,H$5&lt;=$F11),IF(H$5=$E11+1,$C11,""),"")</f>
        <v/>
      </c>
      <c r="I11" s="34">
        <f>IF(AND(I$5&gt;$E11,I$5&lt;=$F11),IF(I$5=$E11+1,$C11,""),"")</f>
        <v/>
      </c>
      <c r="J11" s="34">
        <f>IF(AND(J$5&gt;$E11,J$5&lt;=$F11),IF(J$5=$E11+1,$C11,""),"")</f>
        <v/>
      </c>
      <c r="K11" s="34">
        <f>IF(AND(K$5&gt;$E11,K$5&lt;=$F11),IF(K$5=$E11+1,$C11,""),"")</f>
        <v/>
      </c>
      <c r="L11" s="34">
        <f>IF(AND(L$5&gt;$E11,L$5&lt;=$F11),IF(L$5=$E11+1,$C11,""),"")</f>
        <v/>
      </c>
      <c r="M11" s="34">
        <f>IF(AND(M$5&gt;$E11,M$5&lt;=$F11),IF(M$5=$E11+1,$C11,""),"")</f>
        <v/>
      </c>
      <c r="N11" s="34">
        <f>IF(AND(N$5&gt;$E11,N$5&lt;=$F11),IF(N$5=$E11+1,$C11,""),"")</f>
        <v/>
      </c>
      <c r="O11" s="34">
        <f>IF(AND(O$5&gt;$E11,O$5&lt;=$F11),IF(O$5=$E11+1,$C11,""),"")</f>
        <v/>
      </c>
      <c r="P11" s="34">
        <f>IF(AND(P$5&gt;$E11,P$5&lt;=$F11),IF(P$5=$E11+1,$C11,""),"")</f>
        <v/>
      </c>
      <c r="Q11" s="34">
        <f>IF(AND(Q$5&gt;$E11,Q$5&lt;=$F11),IF(Q$5=$E11+1,$C11,""),"")</f>
        <v/>
      </c>
      <c r="R11" s="34">
        <f>IF(AND(R$5&gt;$E11,R$5&lt;=$F11),IF(R$5=$E11+1,$C11,""),"")</f>
        <v/>
      </c>
      <c r="S11" s="34">
        <f>IF(AND(S$5&gt;$E11,S$5&lt;=$F11),IF(S$5=$E11+1,$C11,""),"")</f>
        <v/>
      </c>
      <c r="T11" s="34">
        <f>IF(AND(T$5&gt;$E11,T$5&lt;=$F11),IF(T$5=$E11+1,$C11,""),"")</f>
        <v/>
      </c>
      <c r="U11" s="34">
        <f>IF(AND(U$5&gt;$E11,U$5&lt;=$F11),IF(U$5=$E11+1,$C11,""),"")</f>
        <v/>
      </c>
      <c r="V11" s="34">
        <f>IF(AND(V$5&gt;$E11,V$5&lt;=$F11),IF(V$5=$E11+1,$C11,""),"")</f>
        <v/>
      </c>
      <c r="W11" s="34">
        <f>IF(AND(W$5&gt;$E11,W$5&lt;=$F11),IF(W$5=$E11+1,$C11,""),"")</f>
        <v/>
      </c>
      <c r="X11" s="34">
        <f>IF(AND(X$5&gt;$E11,X$5&lt;=$F11),IF(X$5=$E11+1,$C11,""),"")</f>
        <v/>
      </c>
      <c r="Y11" s="34">
        <f>IF(AND(Y$5&gt;$E11,Y$5&lt;=$F11),IF(Y$5=$E11+1,$C11,""),"")</f>
        <v/>
      </c>
      <c r="Z11" s="34">
        <f>IF(AND(Z$5&gt;$E11,Z$5&lt;=$F11),IF(Z$5=$E11+1,$C11,""),"")</f>
        <v/>
      </c>
      <c r="AA11" s="34">
        <f>IF(AND(AA$5&gt;$E11,AA$5&lt;=$F11),IF(AA$5=$E11+1,$C11,""),"")</f>
        <v/>
      </c>
      <c r="AB11" s="34">
        <f>IF(AND(AB$5&gt;$E11,AB$5&lt;=$F11),IF(AB$5=$E11+1,$C11,""),"")</f>
        <v/>
      </c>
      <c r="AC11" s="34">
        <f>IF(AND(AC$5&gt;$E11,AC$5&lt;=$F11),IF(AC$5=$E11+1,$C11,""),"")</f>
        <v/>
      </c>
      <c r="AD11" s="34">
        <f>IF(AND(AD$5&gt;$E11,AD$5&lt;=$F11),IF(AD$5=$E11+1,$C11,""),"")</f>
        <v/>
      </c>
      <c r="AE11" s="34">
        <f>IF(AND(AE$5&gt;$E11,AE$5&lt;=$F11),IF(AE$5=$E11+1,$C11,""),"")</f>
        <v/>
      </c>
      <c r="AF11" s="34">
        <f>IF(AND(AF$5&gt;$E11,AF$5&lt;=$F11),IF(AF$5=$E11+1,$C11,""),"")</f>
        <v/>
      </c>
      <c r="AG11" s="34">
        <f>IF(AND(AG$5&gt;$E11,AG$5&lt;=$F11),IF(AG$5=$E11+1,$C11,""),"")</f>
        <v/>
      </c>
      <c r="AH11" s="34">
        <f>IF(AND(AH$5&gt;$E11,AH$5&lt;=$F11),IF(AH$5=$E11+1,$C11,""),"")</f>
        <v/>
      </c>
      <c r="AI11" s="34">
        <f>IF(AND(AI$5&gt;$E11,AI$5&lt;=$F11),IF(AI$5=$E11+1,$C11,""),"")</f>
        <v/>
      </c>
      <c r="AJ11" s="34">
        <f>IF(AND(AJ$5&gt;$E11,AJ$5&lt;=$F11),IF(AJ$5=$E11+1,$C11,""),"")</f>
        <v/>
      </c>
      <c r="AK11" s="34">
        <f>IF(AND(AK$5&gt;$E11,AK$5&lt;=$F11),IF(AK$5=$E11+1,$C11,""),"")</f>
        <v/>
      </c>
      <c r="AL11" s="34">
        <f>IF(AND(AL$5&gt;$E11,AL$5&lt;=$F11),IF(AL$5=$E11+1,$C11,""),"")</f>
        <v/>
      </c>
      <c r="AM11" s="34">
        <f>IF(AND(AM$5&gt;$E11,AM$5&lt;=$F11),IF(AM$5=$E11+1,$C11,""),"")</f>
        <v/>
      </c>
      <c r="AN11" s="34">
        <f>IF(AND(AN$5&gt;$E11,AN$5&lt;=$F11),IF(AN$5=$E11+1,$C11,""),"")</f>
        <v/>
      </c>
      <c r="AO11" s="34">
        <f>IF(AND(AO$5&gt;$E11,AO$5&lt;=$F11),IF(AO$5=$E11+1,$C11,""),"")</f>
        <v/>
      </c>
      <c r="AP11" s="34">
        <f>IF(AND(AP$5&gt;$E11,AP$5&lt;=$F11),IF(AP$5=$E11+1,$C11,""),"")</f>
        <v/>
      </c>
      <c r="AQ11" s="34">
        <f>IF(AND(AQ$5&gt;$E11,AQ$5&lt;=$F11),IF(AQ$5=$E11+1,$C11,""),"")</f>
        <v/>
      </c>
      <c r="AR11" s="34">
        <f>IF(AND(AR$5&gt;$E11,AR$5&lt;=$F11),IF(AR$5=$E11+1,$C11,""),"")</f>
        <v/>
      </c>
      <c r="AS11" s="34">
        <f>IF(AND(AS$5&gt;$E11,AS$5&lt;=$F11),IF(AS$5=$E11+1,$C11,""),"")</f>
        <v/>
      </c>
      <c r="AT11" s="34">
        <f>IF(AND(AT$5&gt;$E11,AT$5&lt;=$F11),IF(AT$5=$E11+1,$C11,""),"")</f>
        <v/>
      </c>
      <c r="AU11" s="34">
        <f>IF(AND(AU$5&gt;$E11,AU$5&lt;=$F11),IF(AU$5=$E11+1,$C11,""),"")</f>
        <v/>
      </c>
      <c r="AV11" s="34">
        <f>IF(AND(AV$5&gt;$E11,AV$5&lt;=$F11),IF(AV$5=$E11+1,$C11,""),"")</f>
        <v/>
      </c>
      <c r="AW11" s="34">
        <f>IF(AND(AW$5&gt;$E11,AW$5&lt;=$F11),IF(AW$5=$E11+1,$C11,""),"")</f>
        <v/>
      </c>
      <c r="AX11" s="34">
        <f>IF(AND(AX$5&gt;$E11,AX$5&lt;=$F11),IF(AX$5=$E11+1,$C11,""),"")</f>
        <v/>
      </c>
      <c r="AY11" s="34">
        <f>IF(AND(AY$5&gt;$E11,AY$5&lt;=$F11),IF(AY$5=$E11+1,$C11,""),"")</f>
        <v/>
      </c>
      <c r="AZ11" s="34">
        <f>IF(AND(AZ$5&gt;$E11,AZ$5&lt;=$F11),IF(AZ$5=$E11+1,$C11,""),"")</f>
        <v/>
      </c>
      <c r="BA11" s="34">
        <f>IF(AND(BA$5&gt;$E11,BA$5&lt;=$F11),IF(BA$5=$E11+1,$C11,""),"")</f>
        <v/>
      </c>
      <c r="BB11" s="34">
        <f>IF(AND(BB$5&gt;$E11,BB$5&lt;=$F11),IF(BB$5=$E11+1,$C11,""),"")</f>
        <v/>
      </c>
      <c r="BC11" s="34">
        <f>IF(AND(BC$5&gt;$E11,BC$5&lt;=$F11),IF(BC$5=$E11+1,$C11,""),"")</f>
        <v/>
      </c>
      <c r="BD11" s="34">
        <f>IF(AND(BD$5&gt;$E11,BD$5&lt;=$F11),IF(BD$5=$E11+1,$C11,""),"")</f>
        <v/>
      </c>
      <c r="BE11" s="34">
        <f>IF(AND(BE$5&gt;$E11,BE$5&lt;=$F11),IF(BE$5=$E11+1,$C11,""),"")</f>
        <v/>
      </c>
      <c r="BF11" s="34">
        <f>IF(AND(BF$5&gt;$E11,BF$5&lt;=$F11),IF(BF$5=$E11+1,$C11,""),"")</f>
        <v/>
      </c>
      <c r="BG11" s="34">
        <f>IF(AND(BG$5&gt;$E11,BG$5&lt;=$F11),IF(BG$5=$E11+1,$C11,""),"")</f>
        <v/>
      </c>
      <c r="BH11" s="34">
        <f>IF(AND(BH$5&gt;$E11,BH$5&lt;=$F11),IF(BH$5=$E11+1,$C11,""),"")</f>
        <v/>
      </c>
      <c r="BI11" s="34">
        <f>IF(AND(BI$5&gt;$E11,BI$5&lt;=$F11),IF(BI$5=$E11+1,$C11,""),"")</f>
        <v/>
      </c>
      <c r="BJ11" s="34">
        <f>IF(AND(BJ$5&gt;$E11,BJ$5&lt;=$F11),IF(BJ$5=$E11+1,$C11,""),"")</f>
        <v/>
      </c>
      <c r="BK11" s="34">
        <f>IF(AND(BK$5&gt;$E11,BK$5&lt;=$F11),IF(BK$5=$E11+1,$C11,""),"")</f>
        <v/>
      </c>
      <c r="BL11" s="34">
        <f>IF(AND(BL$5&gt;$E11,BL$5&lt;=$F11),IF(BL$5=$E11+1,$C11,""),"")</f>
        <v/>
      </c>
      <c r="BM11" s="34">
        <f>IF(AND(BM$5&gt;$E11,BM$5&lt;=$F11),IF(BM$5=$E11+1,$C11,""),"")</f>
        <v/>
      </c>
      <c r="BN11" s="34">
        <f>IF(AND(BN$5&gt;$E11,BN$5&lt;=$F11),IF(BN$5=$E11+1,$C11,""),"")</f>
        <v/>
      </c>
      <c r="BO11" s="34">
        <f>IF(AND(BO$5&gt;$E11,BO$5&lt;=$F11),IF(BO$5=$E11+1,$C11,""),"")</f>
        <v/>
      </c>
      <c r="BP11" s="34">
        <f>IF(AND(BP$5&gt;$E11,BP$5&lt;=$F11),IF(BP$5=$E11+1,$C11,""),"")</f>
        <v/>
      </c>
      <c r="BQ11" s="34">
        <f>IF(AND(BQ$5&gt;$E11,BQ$5&lt;=$F11),IF(BQ$5=$E11+1,$C11,""),"")</f>
        <v/>
      </c>
      <c r="BR11" s="34">
        <f>IF(AND(BR$5&gt;$E11,BR$5&lt;=$F11),IF(BR$5=$E11+1,$C11,""),"")</f>
        <v/>
      </c>
      <c r="BS11" s="34">
        <f>IF(AND(BS$5&gt;$E11,BS$5&lt;=$F11),IF(BS$5=$E11+1,$C11,""),"")</f>
        <v/>
      </c>
      <c r="BT11" s="34">
        <f>IF(AND(BT$5&gt;$E11,BT$5&lt;=$F11),IF(BT$5=$E11+1,$C11,""),"")</f>
        <v/>
      </c>
      <c r="BU11" s="34">
        <f>IF(AND(BU$5&gt;$E11,BU$5&lt;=$F11),IF(BU$5=$E11+1,$C11,""),"")</f>
        <v/>
      </c>
      <c r="BV11" s="34">
        <f>IF(AND(BV$5&gt;$E11,BV$5&lt;=$F11),IF(BV$5=$E11+1,$C11,""),"")</f>
        <v/>
      </c>
      <c r="BW11" s="34">
        <f>IF(AND(BW$5&gt;$E11,BW$5&lt;=$F11),IF(BW$5=$E11+1,$C11,""),"")</f>
        <v/>
      </c>
      <c r="BX11" s="34">
        <f>IF(AND(BX$5&gt;$E11,BX$5&lt;=$F11),IF(BX$5=$E11+1,$C11,""),"")</f>
        <v/>
      </c>
      <c r="BY11" s="34">
        <f>IF(AND(BY$5&gt;$E11,BY$5&lt;=$F11),IF(BY$5=$E11+1,$C11,""),"")</f>
        <v/>
      </c>
      <c r="BZ11" s="34">
        <f>IF(AND(BZ$5&gt;$E11,BZ$5&lt;=$F11),IF(BZ$5=$E11+1,$C11,""),"")</f>
        <v/>
      </c>
      <c r="CA11" s="34">
        <f>IF(AND(CA$5&gt;$E11,CA$5&lt;=$F11),IF(CA$5=$E11+1,$C11,""),"")</f>
        <v/>
      </c>
      <c r="CB11" s="34">
        <f>IF(AND(CB$5&gt;$E11,CB$5&lt;=$F11),IF(CB$5=$E11+1,$C11,""),"")</f>
        <v/>
      </c>
      <c r="CC11" s="34">
        <f>IF(AND(CC$5&gt;$E11,CC$5&lt;=$F11),IF(CC$5=$E11+1,$C11,""),"")</f>
        <v/>
      </c>
      <c r="CD11" s="34">
        <f>IF(AND(CD$5&gt;$E11,CD$5&lt;=$F11),IF(CD$5=$E11+1,$C11,""),"")</f>
        <v/>
      </c>
      <c r="CE11" s="34">
        <f>IF(AND(CE$5&gt;$E11,CE$5&lt;=$F11),IF(CE$5=$E11+1,$C11,""),"")</f>
        <v/>
      </c>
      <c r="CF11" s="34">
        <f>IF(AND(CF$5&gt;$E11,CF$5&lt;=$F11),IF(CF$5=$E11+1,$C11,""),"")</f>
        <v/>
      </c>
      <c r="CG11" s="34">
        <f>IF(AND(CG$5&gt;$E11,CG$5&lt;=$F11),IF(CG$5=$E11+1,$C11,""),"")</f>
        <v/>
      </c>
      <c r="CH11" s="34">
        <f>IF(AND(CH$5&gt;$E11,CH$5&lt;=$F11),IF(CH$5=$E11+1,$C11,""),"")</f>
        <v/>
      </c>
      <c r="CI11" s="34">
        <f>IF(AND(CI$5&gt;$E11,CI$5&lt;=$F11),IF(CI$5=$E11+1,$C11,""),"")</f>
        <v/>
      </c>
      <c r="CJ11" s="34">
        <f>IF(AND(CJ$5&gt;$E11,CJ$5&lt;=$F11),IF(CJ$5=$E11+1,$C11,""),"")</f>
        <v/>
      </c>
      <c r="CK11" s="34">
        <f>IF(AND(CK$5&gt;$E11,CK$5&lt;=$F11),IF(CK$5=$E11+1,$C11,""),"")</f>
        <v/>
      </c>
      <c r="CL11" s="34">
        <f>IF(AND(CL$5&gt;$E11,CL$5&lt;=$F11),IF(CL$5=$E11+1,$C11,""),"")</f>
        <v/>
      </c>
      <c r="CM11" s="34">
        <f>IF(AND(CM$5&gt;$E11,CM$5&lt;=$F11),IF(CM$5=$E11+1,$C11,""),"")</f>
        <v/>
      </c>
      <c r="CN11" s="34">
        <f>IF(AND(CN$5&gt;$E11,CN$5&lt;=$F11),IF(CN$5=$E11+1,$C11,""),"")</f>
        <v/>
      </c>
      <c r="CO11" s="34">
        <f>IF(AND(CO$5&gt;$E11,CO$5&lt;=$F11),IF(CO$5=$E11+1,$C11,""),"")</f>
        <v/>
      </c>
      <c r="CP11" s="34">
        <f>IF(AND(CP$5&gt;$E11,CP$5&lt;=$F11),IF(CP$5=$E11+1,$C11,""),"")</f>
        <v/>
      </c>
      <c r="CQ11" s="34">
        <f>IF(AND(CQ$5&gt;$E11,CQ$5&lt;=$F11),IF(CQ$5=$E11+1,$C11,""),"")</f>
        <v/>
      </c>
      <c r="CR11" s="34">
        <f>IF(AND(CR$5&gt;$E11,CR$5&lt;=$F11),IF(CR$5=$E11+1,$C11,""),"")</f>
        <v/>
      </c>
      <c r="CS11" s="34">
        <f>IF(AND(CS$5&gt;$E11,CS$5&lt;=$F11),IF(CS$5=$E11+1,$C11,""),"")</f>
        <v/>
      </c>
    </row>
    <row r="12">
      <c r="A12" s="32">
        <f>Plan!A7</f>
        <v/>
      </c>
      <c r="B12" s="33">
        <f>Plan!C7</f>
        <v/>
      </c>
      <c r="C12" s="16">
        <f>Plan!D7</f>
        <v/>
      </c>
      <c r="D12" s="16">
        <f>Plan!I7</f>
        <v/>
      </c>
      <c r="E12" s="16">
        <f>Plan!K7</f>
        <v/>
      </c>
      <c r="F12" s="16">
        <f>Plan!L7</f>
        <v/>
      </c>
      <c r="G12" s="16">
        <f>Plan!O7</f>
        <v/>
      </c>
      <c r="H12" s="34">
        <f>IF(AND(H$5&gt;$E12,H$5&lt;=$F12),IF(H$5=$E12+1,$C12,""),"")</f>
        <v/>
      </c>
      <c r="I12" s="34">
        <f>IF(AND(I$5&gt;$E12,I$5&lt;=$F12),IF(I$5=$E12+1,$C12,""),"")</f>
        <v/>
      </c>
      <c r="J12" s="34">
        <f>IF(AND(J$5&gt;$E12,J$5&lt;=$F12),IF(J$5=$E12+1,$C12,""),"")</f>
        <v/>
      </c>
      <c r="K12" s="34">
        <f>IF(AND(K$5&gt;$E12,K$5&lt;=$F12),IF(K$5=$E12+1,$C12,""),"")</f>
        <v/>
      </c>
      <c r="L12" s="34">
        <f>IF(AND(L$5&gt;$E12,L$5&lt;=$F12),IF(L$5=$E12+1,$C12,""),"")</f>
        <v/>
      </c>
      <c r="M12" s="34">
        <f>IF(AND(M$5&gt;$E12,M$5&lt;=$F12),IF(M$5=$E12+1,$C12,""),"")</f>
        <v/>
      </c>
      <c r="N12" s="34">
        <f>IF(AND(N$5&gt;$E12,N$5&lt;=$F12),IF(N$5=$E12+1,$C12,""),"")</f>
        <v/>
      </c>
      <c r="O12" s="34">
        <f>IF(AND(O$5&gt;$E12,O$5&lt;=$F12),IF(O$5=$E12+1,$C12,""),"")</f>
        <v/>
      </c>
      <c r="P12" s="34">
        <f>IF(AND(P$5&gt;$E12,P$5&lt;=$F12),IF(P$5=$E12+1,$C12,""),"")</f>
        <v/>
      </c>
      <c r="Q12" s="34">
        <f>IF(AND(Q$5&gt;$E12,Q$5&lt;=$F12),IF(Q$5=$E12+1,$C12,""),"")</f>
        <v/>
      </c>
      <c r="R12" s="34">
        <f>IF(AND(R$5&gt;$E12,R$5&lt;=$F12),IF(R$5=$E12+1,$C12,""),"")</f>
        <v/>
      </c>
      <c r="S12" s="34">
        <f>IF(AND(S$5&gt;$E12,S$5&lt;=$F12),IF(S$5=$E12+1,$C12,""),"")</f>
        <v/>
      </c>
      <c r="T12" s="34">
        <f>IF(AND(T$5&gt;$E12,T$5&lt;=$F12),IF(T$5=$E12+1,$C12,""),"")</f>
        <v/>
      </c>
      <c r="U12" s="34">
        <f>IF(AND(U$5&gt;$E12,U$5&lt;=$F12),IF(U$5=$E12+1,$C12,""),"")</f>
        <v/>
      </c>
      <c r="V12" s="34">
        <f>IF(AND(V$5&gt;$E12,V$5&lt;=$F12),IF(V$5=$E12+1,$C12,""),"")</f>
        <v/>
      </c>
      <c r="W12" s="34">
        <f>IF(AND(W$5&gt;$E12,W$5&lt;=$F12),IF(W$5=$E12+1,$C12,""),"")</f>
        <v/>
      </c>
      <c r="X12" s="34">
        <f>IF(AND(X$5&gt;$E12,X$5&lt;=$F12),IF(X$5=$E12+1,$C12,""),"")</f>
        <v/>
      </c>
      <c r="Y12" s="34">
        <f>IF(AND(Y$5&gt;$E12,Y$5&lt;=$F12),IF(Y$5=$E12+1,$C12,""),"")</f>
        <v/>
      </c>
      <c r="Z12" s="34">
        <f>IF(AND(Z$5&gt;$E12,Z$5&lt;=$F12),IF(Z$5=$E12+1,$C12,""),"")</f>
        <v/>
      </c>
      <c r="AA12" s="34">
        <f>IF(AND(AA$5&gt;$E12,AA$5&lt;=$F12),IF(AA$5=$E12+1,$C12,""),"")</f>
        <v/>
      </c>
      <c r="AB12" s="34">
        <f>IF(AND(AB$5&gt;$E12,AB$5&lt;=$F12),IF(AB$5=$E12+1,$C12,""),"")</f>
        <v/>
      </c>
      <c r="AC12" s="34">
        <f>IF(AND(AC$5&gt;$E12,AC$5&lt;=$F12),IF(AC$5=$E12+1,$C12,""),"")</f>
        <v/>
      </c>
      <c r="AD12" s="34">
        <f>IF(AND(AD$5&gt;$E12,AD$5&lt;=$F12),IF(AD$5=$E12+1,$C12,""),"")</f>
        <v/>
      </c>
      <c r="AE12" s="34">
        <f>IF(AND(AE$5&gt;$E12,AE$5&lt;=$F12),IF(AE$5=$E12+1,$C12,""),"")</f>
        <v/>
      </c>
      <c r="AF12" s="34">
        <f>IF(AND(AF$5&gt;$E12,AF$5&lt;=$F12),IF(AF$5=$E12+1,$C12,""),"")</f>
        <v/>
      </c>
      <c r="AG12" s="34">
        <f>IF(AND(AG$5&gt;$E12,AG$5&lt;=$F12),IF(AG$5=$E12+1,$C12,""),"")</f>
        <v/>
      </c>
      <c r="AH12" s="34">
        <f>IF(AND(AH$5&gt;$E12,AH$5&lt;=$F12),IF(AH$5=$E12+1,$C12,""),"")</f>
        <v/>
      </c>
      <c r="AI12" s="34">
        <f>IF(AND(AI$5&gt;$E12,AI$5&lt;=$F12),IF(AI$5=$E12+1,$C12,""),"")</f>
        <v/>
      </c>
      <c r="AJ12" s="34">
        <f>IF(AND(AJ$5&gt;$E12,AJ$5&lt;=$F12),IF(AJ$5=$E12+1,$C12,""),"")</f>
        <v/>
      </c>
      <c r="AK12" s="34">
        <f>IF(AND(AK$5&gt;$E12,AK$5&lt;=$F12),IF(AK$5=$E12+1,$C12,""),"")</f>
        <v/>
      </c>
      <c r="AL12" s="34">
        <f>IF(AND(AL$5&gt;$E12,AL$5&lt;=$F12),IF(AL$5=$E12+1,$C12,""),"")</f>
        <v/>
      </c>
      <c r="AM12" s="34">
        <f>IF(AND(AM$5&gt;$E12,AM$5&lt;=$F12),IF(AM$5=$E12+1,$C12,""),"")</f>
        <v/>
      </c>
      <c r="AN12" s="34">
        <f>IF(AND(AN$5&gt;$E12,AN$5&lt;=$F12),IF(AN$5=$E12+1,$C12,""),"")</f>
        <v/>
      </c>
      <c r="AO12" s="34">
        <f>IF(AND(AO$5&gt;$E12,AO$5&lt;=$F12),IF(AO$5=$E12+1,$C12,""),"")</f>
        <v/>
      </c>
      <c r="AP12" s="34">
        <f>IF(AND(AP$5&gt;$E12,AP$5&lt;=$F12),IF(AP$5=$E12+1,$C12,""),"")</f>
        <v/>
      </c>
      <c r="AQ12" s="34">
        <f>IF(AND(AQ$5&gt;$E12,AQ$5&lt;=$F12),IF(AQ$5=$E12+1,$C12,""),"")</f>
        <v/>
      </c>
      <c r="AR12" s="34">
        <f>IF(AND(AR$5&gt;$E12,AR$5&lt;=$F12),IF(AR$5=$E12+1,$C12,""),"")</f>
        <v/>
      </c>
      <c r="AS12" s="34">
        <f>IF(AND(AS$5&gt;$E12,AS$5&lt;=$F12),IF(AS$5=$E12+1,$C12,""),"")</f>
        <v/>
      </c>
      <c r="AT12" s="34">
        <f>IF(AND(AT$5&gt;$E12,AT$5&lt;=$F12),IF(AT$5=$E12+1,$C12,""),"")</f>
        <v/>
      </c>
      <c r="AU12" s="34">
        <f>IF(AND(AU$5&gt;$E12,AU$5&lt;=$F12),IF(AU$5=$E12+1,$C12,""),"")</f>
        <v/>
      </c>
      <c r="AV12" s="34">
        <f>IF(AND(AV$5&gt;$E12,AV$5&lt;=$F12),IF(AV$5=$E12+1,$C12,""),"")</f>
        <v/>
      </c>
      <c r="AW12" s="34">
        <f>IF(AND(AW$5&gt;$E12,AW$5&lt;=$F12),IF(AW$5=$E12+1,$C12,""),"")</f>
        <v/>
      </c>
      <c r="AX12" s="34">
        <f>IF(AND(AX$5&gt;$E12,AX$5&lt;=$F12),IF(AX$5=$E12+1,$C12,""),"")</f>
        <v/>
      </c>
      <c r="AY12" s="34">
        <f>IF(AND(AY$5&gt;$E12,AY$5&lt;=$F12),IF(AY$5=$E12+1,$C12,""),"")</f>
        <v/>
      </c>
      <c r="AZ12" s="34">
        <f>IF(AND(AZ$5&gt;$E12,AZ$5&lt;=$F12),IF(AZ$5=$E12+1,$C12,""),"")</f>
        <v/>
      </c>
      <c r="BA12" s="34">
        <f>IF(AND(BA$5&gt;$E12,BA$5&lt;=$F12),IF(BA$5=$E12+1,$C12,""),"")</f>
        <v/>
      </c>
      <c r="BB12" s="34">
        <f>IF(AND(BB$5&gt;$E12,BB$5&lt;=$F12),IF(BB$5=$E12+1,$C12,""),"")</f>
        <v/>
      </c>
      <c r="BC12" s="34">
        <f>IF(AND(BC$5&gt;$E12,BC$5&lt;=$F12),IF(BC$5=$E12+1,$C12,""),"")</f>
        <v/>
      </c>
      <c r="BD12" s="34">
        <f>IF(AND(BD$5&gt;$E12,BD$5&lt;=$F12),IF(BD$5=$E12+1,$C12,""),"")</f>
        <v/>
      </c>
      <c r="BE12" s="34">
        <f>IF(AND(BE$5&gt;$E12,BE$5&lt;=$F12),IF(BE$5=$E12+1,$C12,""),"")</f>
        <v/>
      </c>
      <c r="BF12" s="34">
        <f>IF(AND(BF$5&gt;$E12,BF$5&lt;=$F12),IF(BF$5=$E12+1,$C12,""),"")</f>
        <v/>
      </c>
      <c r="BG12" s="34">
        <f>IF(AND(BG$5&gt;$E12,BG$5&lt;=$F12),IF(BG$5=$E12+1,$C12,""),"")</f>
        <v/>
      </c>
      <c r="BH12" s="34">
        <f>IF(AND(BH$5&gt;$E12,BH$5&lt;=$F12),IF(BH$5=$E12+1,$C12,""),"")</f>
        <v/>
      </c>
      <c r="BI12" s="34">
        <f>IF(AND(BI$5&gt;$E12,BI$5&lt;=$F12),IF(BI$5=$E12+1,$C12,""),"")</f>
        <v/>
      </c>
      <c r="BJ12" s="34">
        <f>IF(AND(BJ$5&gt;$E12,BJ$5&lt;=$F12),IF(BJ$5=$E12+1,$C12,""),"")</f>
        <v/>
      </c>
      <c r="BK12" s="34">
        <f>IF(AND(BK$5&gt;$E12,BK$5&lt;=$F12),IF(BK$5=$E12+1,$C12,""),"")</f>
        <v/>
      </c>
      <c r="BL12" s="34">
        <f>IF(AND(BL$5&gt;$E12,BL$5&lt;=$F12),IF(BL$5=$E12+1,$C12,""),"")</f>
        <v/>
      </c>
      <c r="BM12" s="34">
        <f>IF(AND(BM$5&gt;$E12,BM$5&lt;=$F12),IF(BM$5=$E12+1,$C12,""),"")</f>
        <v/>
      </c>
      <c r="BN12" s="34">
        <f>IF(AND(BN$5&gt;$E12,BN$5&lt;=$F12),IF(BN$5=$E12+1,$C12,""),"")</f>
        <v/>
      </c>
      <c r="BO12" s="34">
        <f>IF(AND(BO$5&gt;$E12,BO$5&lt;=$F12),IF(BO$5=$E12+1,$C12,""),"")</f>
        <v/>
      </c>
      <c r="BP12" s="34">
        <f>IF(AND(BP$5&gt;$E12,BP$5&lt;=$F12),IF(BP$5=$E12+1,$C12,""),"")</f>
        <v/>
      </c>
      <c r="BQ12" s="34">
        <f>IF(AND(BQ$5&gt;$E12,BQ$5&lt;=$F12),IF(BQ$5=$E12+1,$C12,""),"")</f>
        <v/>
      </c>
      <c r="BR12" s="34">
        <f>IF(AND(BR$5&gt;$E12,BR$5&lt;=$F12),IF(BR$5=$E12+1,$C12,""),"")</f>
        <v/>
      </c>
      <c r="BS12" s="34">
        <f>IF(AND(BS$5&gt;$E12,BS$5&lt;=$F12),IF(BS$5=$E12+1,$C12,""),"")</f>
        <v/>
      </c>
      <c r="BT12" s="34">
        <f>IF(AND(BT$5&gt;$E12,BT$5&lt;=$F12),IF(BT$5=$E12+1,$C12,""),"")</f>
        <v/>
      </c>
      <c r="BU12" s="34">
        <f>IF(AND(BU$5&gt;$E12,BU$5&lt;=$F12),IF(BU$5=$E12+1,$C12,""),"")</f>
        <v/>
      </c>
      <c r="BV12" s="34">
        <f>IF(AND(BV$5&gt;$E12,BV$5&lt;=$F12),IF(BV$5=$E12+1,$C12,""),"")</f>
        <v/>
      </c>
      <c r="BW12" s="34">
        <f>IF(AND(BW$5&gt;$E12,BW$5&lt;=$F12),IF(BW$5=$E12+1,$C12,""),"")</f>
        <v/>
      </c>
      <c r="BX12" s="34">
        <f>IF(AND(BX$5&gt;$E12,BX$5&lt;=$F12),IF(BX$5=$E12+1,$C12,""),"")</f>
        <v/>
      </c>
      <c r="BY12" s="34">
        <f>IF(AND(BY$5&gt;$E12,BY$5&lt;=$F12),IF(BY$5=$E12+1,$C12,""),"")</f>
        <v/>
      </c>
      <c r="BZ12" s="34">
        <f>IF(AND(BZ$5&gt;$E12,BZ$5&lt;=$F12),IF(BZ$5=$E12+1,$C12,""),"")</f>
        <v/>
      </c>
      <c r="CA12" s="34">
        <f>IF(AND(CA$5&gt;$E12,CA$5&lt;=$F12),IF(CA$5=$E12+1,$C12,""),"")</f>
        <v/>
      </c>
      <c r="CB12" s="34">
        <f>IF(AND(CB$5&gt;$E12,CB$5&lt;=$F12),IF(CB$5=$E12+1,$C12,""),"")</f>
        <v/>
      </c>
      <c r="CC12" s="34">
        <f>IF(AND(CC$5&gt;$E12,CC$5&lt;=$F12),IF(CC$5=$E12+1,$C12,""),"")</f>
        <v/>
      </c>
      <c r="CD12" s="34">
        <f>IF(AND(CD$5&gt;$E12,CD$5&lt;=$F12),IF(CD$5=$E12+1,$C12,""),"")</f>
        <v/>
      </c>
      <c r="CE12" s="34">
        <f>IF(AND(CE$5&gt;$E12,CE$5&lt;=$F12),IF(CE$5=$E12+1,$C12,""),"")</f>
        <v/>
      </c>
      <c r="CF12" s="34">
        <f>IF(AND(CF$5&gt;$E12,CF$5&lt;=$F12),IF(CF$5=$E12+1,$C12,""),"")</f>
        <v/>
      </c>
      <c r="CG12" s="34">
        <f>IF(AND(CG$5&gt;$E12,CG$5&lt;=$F12),IF(CG$5=$E12+1,$C12,""),"")</f>
        <v/>
      </c>
      <c r="CH12" s="34">
        <f>IF(AND(CH$5&gt;$E12,CH$5&lt;=$F12),IF(CH$5=$E12+1,$C12,""),"")</f>
        <v/>
      </c>
      <c r="CI12" s="34">
        <f>IF(AND(CI$5&gt;$E12,CI$5&lt;=$F12),IF(CI$5=$E12+1,$C12,""),"")</f>
        <v/>
      </c>
      <c r="CJ12" s="34">
        <f>IF(AND(CJ$5&gt;$E12,CJ$5&lt;=$F12),IF(CJ$5=$E12+1,$C12,""),"")</f>
        <v/>
      </c>
      <c r="CK12" s="34">
        <f>IF(AND(CK$5&gt;$E12,CK$5&lt;=$F12),IF(CK$5=$E12+1,$C12,""),"")</f>
        <v/>
      </c>
      <c r="CL12" s="34">
        <f>IF(AND(CL$5&gt;$E12,CL$5&lt;=$F12),IF(CL$5=$E12+1,$C12,""),"")</f>
        <v/>
      </c>
      <c r="CM12" s="34">
        <f>IF(AND(CM$5&gt;$E12,CM$5&lt;=$F12),IF(CM$5=$E12+1,$C12,""),"")</f>
        <v/>
      </c>
      <c r="CN12" s="34">
        <f>IF(AND(CN$5&gt;$E12,CN$5&lt;=$F12),IF(CN$5=$E12+1,$C12,""),"")</f>
        <v/>
      </c>
      <c r="CO12" s="34">
        <f>IF(AND(CO$5&gt;$E12,CO$5&lt;=$F12),IF(CO$5=$E12+1,$C12,""),"")</f>
        <v/>
      </c>
      <c r="CP12" s="34">
        <f>IF(AND(CP$5&gt;$E12,CP$5&lt;=$F12),IF(CP$5=$E12+1,$C12,""),"")</f>
        <v/>
      </c>
      <c r="CQ12" s="34">
        <f>IF(AND(CQ$5&gt;$E12,CQ$5&lt;=$F12),IF(CQ$5=$E12+1,$C12,""),"")</f>
        <v/>
      </c>
      <c r="CR12" s="34">
        <f>IF(AND(CR$5&gt;$E12,CR$5&lt;=$F12),IF(CR$5=$E12+1,$C12,""),"")</f>
        <v/>
      </c>
      <c r="CS12" s="34">
        <f>IF(AND(CS$5&gt;$E12,CS$5&lt;=$F12),IF(CS$5=$E12+1,$C12,""),"")</f>
        <v/>
      </c>
    </row>
    <row r="13">
      <c r="A13" s="32">
        <f>Plan!A8</f>
        <v/>
      </c>
      <c r="B13" s="33">
        <f>Plan!C8</f>
        <v/>
      </c>
      <c r="C13" s="16">
        <f>Plan!D8</f>
        <v/>
      </c>
      <c r="D13" s="16">
        <f>Plan!I8</f>
        <v/>
      </c>
      <c r="E13" s="16">
        <f>Plan!K8</f>
        <v/>
      </c>
      <c r="F13" s="16">
        <f>Plan!L8</f>
        <v/>
      </c>
      <c r="G13" s="16">
        <f>Plan!O8</f>
        <v/>
      </c>
      <c r="H13" s="34">
        <f>IF(AND(H$5&gt;$E13,H$5&lt;=$F13),IF(H$5=$E13+1,$C13,""),"")</f>
        <v/>
      </c>
      <c r="I13" s="34">
        <f>IF(AND(I$5&gt;$E13,I$5&lt;=$F13),IF(I$5=$E13+1,$C13,""),"")</f>
        <v/>
      </c>
      <c r="J13" s="34">
        <f>IF(AND(J$5&gt;$E13,J$5&lt;=$F13),IF(J$5=$E13+1,$C13,""),"")</f>
        <v/>
      </c>
      <c r="K13" s="34">
        <f>IF(AND(K$5&gt;$E13,K$5&lt;=$F13),IF(K$5=$E13+1,$C13,""),"")</f>
        <v/>
      </c>
      <c r="L13" s="34">
        <f>IF(AND(L$5&gt;$E13,L$5&lt;=$F13),IF(L$5=$E13+1,$C13,""),"")</f>
        <v/>
      </c>
      <c r="M13" s="34">
        <f>IF(AND(M$5&gt;$E13,M$5&lt;=$F13),IF(M$5=$E13+1,$C13,""),"")</f>
        <v/>
      </c>
      <c r="N13" s="34">
        <f>IF(AND(N$5&gt;$E13,N$5&lt;=$F13),IF(N$5=$E13+1,$C13,""),"")</f>
        <v/>
      </c>
      <c r="O13" s="34">
        <f>IF(AND(O$5&gt;$E13,O$5&lt;=$F13),IF(O$5=$E13+1,$C13,""),"")</f>
        <v/>
      </c>
      <c r="P13" s="34">
        <f>IF(AND(P$5&gt;$E13,P$5&lt;=$F13),IF(P$5=$E13+1,$C13,""),"")</f>
        <v/>
      </c>
      <c r="Q13" s="34">
        <f>IF(AND(Q$5&gt;$E13,Q$5&lt;=$F13),IF(Q$5=$E13+1,$C13,""),"")</f>
        <v/>
      </c>
      <c r="R13" s="34">
        <f>IF(AND(R$5&gt;$E13,R$5&lt;=$F13),IF(R$5=$E13+1,$C13,""),"")</f>
        <v/>
      </c>
      <c r="S13" s="34">
        <f>IF(AND(S$5&gt;$E13,S$5&lt;=$F13),IF(S$5=$E13+1,$C13,""),"")</f>
        <v/>
      </c>
      <c r="T13" s="34">
        <f>IF(AND(T$5&gt;$E13,T$5&lt;=$F13),IF(T$5=$E13+1,$C13,""),"")</f>
        <v/>
      </c>
      <c r="U13" s="34">
        <f>IF(AND(U$5&gt;$E13,U$5&lt;=$F13),IF(U$5=$E13+1,$C13,""),"")</f>
        <v/>
      </c>
      <c r="V13" s="34">
        <f>IF(AND(V$5&gt;$E13,V$5&lt;=$F13),IF(V$5=$E13+1,$C13,""),"")</f>
        <v/>
      </c>
      <c r="W13" s="34">
        <f>IF(AND(W$5&gt;$E13,W$5&lt;=$F13),IF(W$5=$E13+1,$C13,""),"")</f>
        <v/>
      </c>
      <c r="X13" s="34">
        <f>IF(AND(X$5&gt;$E13,X$5&lt;=$F13),IF(X$5=$E13+1,$C13,""),"")</f>
        <v/>
      </c>
      <c r="Y13" s="34">
        <f>IF(AND(Y$5&gt;$E13,Y$5&lt;=$F13),IF(Y$5=$E13+1,$C13,""),"")</f>
        <v/>
      </c>
      <c r="Z13" s="34">
        <f>IF(AND(Z$5&gt;$E13,Z$5&lt;=$F13),IF(Z$5=$E13+1,$C13,""),"")</f>
        <v/>
      </c>
      <c r="AA13" s="34">
        <f>IF(AND(AA$5&gt;$E13,AA$5&lt;=$F13),IF(AA$5=$E13+1,$C13,""),"")</f>
        <v/>
      </c>
      <c r="AB13" s="34">
        <f>IF(AND(AB$5&gt;$E13,AB$5&lt;=$F13),IF(AB$5=$E13+1,$C13,""),"")</f>
        <v/>
      </c>
      <c r="AC13" s="34">
        <f>IF(AND(AC$5&gt;$E13,AC$5&lt;=$F13),IF(AC$5=$E13+1,$C13,""),"")</f>
        <v/>
      </c>
      <c r="AD13" s="34">
        <f>IF(AND(AD$5&gt;$E13,AD$5&lt;=$F13),IF(AD$5=$E13+1,$C13,""),"")</f>
        <v/>
      </c>
      <c r="AE13" s="34">
        <f>IF(AND(AE$5&gt;$E13,AE$5&lt;=$F13),IF(AE$5=$E13+1,$C13,""),"")</f>
        <v/>
      </c>
      <c r="AF13" s="34">
        <f>IF(AND(AF$5&gt;$E13,AF$5&lt;=$F13),IF(AF$5=$E13+1,$C13,""),"")</f>
        <v/>
      </c>
      <c r="AG13" s="34">
        <f>IF(AND(AG$5&gt;$E13,AG$5&lt;=$F13),IF(AG$5=$E13+1,$C13,""),"")</f>
        <v/>
      </c>
      <c r="AH13" s="34">
        <f>IF(AND(AH$5&gt;$E13,AH$5&lt;=$F13),IF(AH$5=$E13+1,$C13,""),"")</f>
        <v/>
      </c>
      <c r="AI13" s="34">
        <f>IF(AND(AI$5&gt;$E13,AI$5&lt;=$F13),IF(AI$5=$E13+1,$C13,""),"")</f>
        <v/>
      </c>
      <c r="AJ13" s="34">
        <f>IF(AND(AJ$5&gt;$E13,AJ$5&lt;=$F13),IF(AJ$5=$E13+1,$C13,""),"")</f>
        <v/>
      </c>
      <c r="AK13" s="34">
        <f>IF(AND(AK$5&gt;$E13,AK$5&lt;=$F13),IF(AK$5=$E13+1,$C13,""),"")</f>
        <v/>
      </c>
      <c r="AL13" s="34">
        <f>IF(AND(AL$5&gt;$E13,AL$5&lt;=$F13),IF(AL$5=$E13+1,$C13,""),"")</f>
        <v/>
      </c>
      <c r="AM13" s="34">
        <f>IF(AND(AM$5&gt;$E13,AM$5&lt;=$F13),IF(AM$5=$E13+1,$C13,""),"")</f>
        <v/>
      </c>
      <c r="AN13" s="34">
        <f>IF(AND(AN$5&gt;$E13,AN$5&lt;=$F13),IF(AN$5=$E13+1,$C13,""),"")</f>
        <v/>
      </c>
      <c r="AO13" s="34">
        <f>IF(AND(AO$5&gt;$E13,AO$5&lt;=$F13),IF(AO$5=$E13+1,$C13,""),"")</f>
        <v/>
      </c>
      <c r="AP13" s="34">
        <f>IF(AND(AP$5&gt;$E13,AP$5&lt;=$F13),IF(AP$5=$E13+1,$C13,""),"")</f>
        <v/>
      </c>
      <c r="AQ13" s="34">
        <f>IF(AND(AQ$5&gt;$E13,AQ$5&lt;=$F13),IF(AQ$5=$E13+1,$C13,""),"")</f>
        <v/>
      </c>
      <c r="AR13" s="34">
        <f>IF(AND(AR$5&gt;$E13,AR$5&lt;=$F13),IF(AR$5=$E13+1,$C13,""),"")</f>
        <v/>
      </c>
      <c r="AS13" s="34">
        <f>IF(AND(AS$5&gt;$E13,AS$5&lt;=$F13),IF(AS$5=$E13+1,$C13,""),"")</f>
        <v/>
      </c>
      <c r="AT13" s="34">
        <f>IF(AND(AT$5&gt;$E13,AT$5&lt;=$F13),IF(AT$5=$E13+1,$C13,""),"")</f>
        <v/>
      </c>
      <c r="AU13" s="34">
        <f>IF(AND(AU$5&gt;$E13,AU$5&lt;=$F13),IF(AU$5=$E13+1,$C13,""),"")</f>
        <v/>
      </c>
      <c r="AV13" s="34">
        <f>IF(AND(AV$5&gt;$E13,AV$5&lt;=$F13),IF(AV$5=$E13+1,$C13,""),"")</f>
        <v/>
      </c>
      <c r="AW13" s="34">
        <f>IF(AND(AW$5&gt;$E13,AW$5&lt;=$F13),IF(AW$5=$E13+1,$C13,""),"")</f>
        <v/>
      </c>
      <c r="AX13" s="34">
        <f>IF(AND(AX$5&gt;$E13,AX$5&lt;=$F13),IF(AX$5=$E13+1,$C13,""),"")</f>
        <v/>
      </c>
      <c r="AY13" s="34">
        <f>IF(AND(AY$5&gt;$E13,AY$5&lt;=$F13),IF(AY$5=$E13+1,$C13,""),"")</f>
        <v/>
      </c>
      <c r="AZ13" s="34">
        <f>IF(AND(AZ$5&gt;$E13,AZ$5&lt;=$F13),IF(AZ$5=$E13+1,$C13,""),"")</f>
        <v/>
      </c>
      <c r="BA13" s="34">
        <f>IF(AND(BA$5&gt;$E13,BA$5&lt;=$F13),IF(BA$5=$E13+1,$C13,""),"")</f>
        <v/>
      </c>
      <c r="BB13" s="34">
        <f>IF(AND(BB$5&gt;$E13,BB$5&lt;=$F13),IF(BB$5=$E13+1,$C13,""),"")</f>
        <v/>
      </c>
      <c r="BC13" s="34">
        <f>IF(AND(BC$5&gt;$E13,BC$5&lt;=$F13),IF(BC$5=$E13+1,$C13,""),"")</f>
        <v/>
      </c>
      <c r="BD13" s="34">
        <f>IF(AND(BD$5&gt;$E13,BD$5&lt;=$F13),IF(BD$5=$E13+1,$C13,""),"")</f>
        <v/>
      </c>
      <c r="BE13" s="34">
        <f>IF(AND(BE$5&gt;$E13,BE$5&lt;=$F13),IF(BE$5=$E13+1,$C13,""),"")</f>
        <v/>
      </c>
      <c r="BF13" s="34">
        <f>IF(AND(BF$5&gt;$E13,BF$5&lt;=$F13),IF(BF$5=$E13+1,$C13,""),"")</f>
        <v/>
      </c>
      <c r="BG13" s="34">
        <f>IF(AND(BG$5&gt;$E13,BG$5&lt;=$F13),IF(BG$5=$E13+1,$C13,""),"")</f>
        <v/>
      </c>
      <c r="BH13" s="34">
        <f>IF(AND(BH$5&gt;$E13,BH$5&lt;=$F13),IF(BH$5=$E13+1,$C13,""),"")</f>
        <v/>
      </c>
      <c r="BI13" s="34">
        <f>IF(AND(BI$5&gt;$E13,BI$5&lt;=$F13),IF(BI$5=$E13+1,$C13,""),"")</f>
        <v/>
      </c>
      <c r="BJ13" s="34">
        <f>IF(AND(BJ$5&gt;$E13,BJ$5&lt;=$F13),IF(BJ$5=$E13+1,$C13,""),"")</f>
        <v/>
      </c>
      <c r="BK13" s="34">
        <f>IF(AND(BK$5&gt;$E13,BK$5&lt;=$F13),IF(BK$5=$E13+1,$C13,""),"")</f>
        <v/>
      </c>
      <c r="BL13" s="34">
        <f>IF(AND(BL$5&gt;$E13,BL$5&lt;=$F13),IF(BL$5=$E13+1,$C13,""),"")</f>
        <v/>
      </c>
      <c r="BM13" s="34">
        <f>IF(AND(BM$5&gt;$E13,BM$5&lt;=$F13),IF(BM$5=$E13+1,$C13,""),"")</f>
        <v/>
      </c>
      <c r="BN13" s="34">
        <f>IF(AND(BN$5&gt;$E13,BN$5&lt;=$F13),IF(BN$5=$E13+1,$C13,""),"")</f>
        <v/>
      </c>
      <c r="BO13" s="34">
        <f>IF(AND(BO$5&gt;$E13,BO$5&lt;=$F13),IF(BO$5=$E13+1,$C13,""),"")</f>
        <v/>
      </c>
      <c r="BP13" s="34">
        <f>IF(AND(BP$5&gt;$E13,BP$5&lt;=$F13),IF(BP$5=$E13+1,$C13,""),"")</f>
        <v/>
      </c>
      <c r="BQ13" s="34">
        <f>IF(AND(BQ$5&gt;$E13,BQ$5&lt;=$F13),IF(BQ$5=$E13+1,$C13,""),"")</f>
        <v/>
      </c>
      <c r="BR13" s="34">
        <f>IF(AND(BR$5&gt;$E13,BR$5&lt;=$F13),IF(BR$5=$E13+1,$C13,""),"")</f>
        <v/>
      </c>
      <c r="BS13" s="34">
        <f>IF(AND(BS$5&gt;$E13,BS$5&lt;=$F13),IF(BS$5=$E13+1,$C13,""),"")</f>
        <v/>
      </c>
      <c r="BT13" s="34">
        <f>IF(AND(BT$5&gt;$E13,BT$5&lt;=$F13),IF(BT$5=$E13+1,$C13,""),"")</f>
        <v/>
      </c>
      <c r="BU13" s="34">
        <f>IF(AND(BU$5&gt;$E13,BU$5&lt;=$F13),IF(BU$5=$E13+1,$C13,""),"")</f>
        <v/>
      </c>
      <c r="BV13" s="34">
        <f>IF(AND(BV$5&gt;$E13,BV$5&lt;=$F13),IF(BV$5=$E13+1,$C13,""),"")</f>
        <v/>
      </c>
      <c r="BW13" s="34">
        <f>IF(AND(BW$5&gt;$E13,BW$5&lt;=$F13),IF(BW$5=$E13+1,$C13,""),"")</f>
        <v/>
      </c>
      <c r="BX13" s="34">
        <f>IF(AND(BX$5&gt;$E13,BX$5&lt;=$F13),IF(BX$5=$E13+1,$C13,""),"")</f>
        <v/>
      </c>
      <c r="BY13" s="34">
        <f>IF(AND(BY$5&gt;$E13,BY$5&lt;=$F13),IF(BY$5=$E13+1,$C13,""),"")</f>
        <v/>
      </c>
      <c r="BZ13" s="34">
        <f>IF(AND(BZ$5&gt;$E13,BZ$5&lt;=$F13),IF(BZ$5=$E13+1,$C13,""),"")</f>
        <v/>
      </c>
      <c r="CA13" s="34">
        <f>IF(AND(CA$5&gt;$E13,CA$5&lt;=$F13),IF(CA$5=$E13+1,$C13,""),"")</f>
        <v/>
      </c>
      <c r="CB13" s="34">
        <f>IF(AND(CB$5&gt;$E13,CB$5&lt;=$F13),IF(CB$5=$E13+1,$C13,""),"")</f>
        <v/>
      </c>
      <c r="CC13" s="34">
        <f>IF(AND(CC$5&gt;$E13,CC$5&lt;=$F13),IF(CC$5=$E13+1,$C13,""),"")</f>
        <v/>
      </c>
      <c r="CD13" s="34">
        <f>IF(AND(CD$5&gt;$E13,CD$5&lt;=$F13),IF(CD$5=$E13+1,$C13,""),"")</f>
        <v/>
      </c>
      <c r="CE13" s="34">
        <f>IF(AND(CE$5&gt;$E13,CE$5&lt;=$F13),IF(CE$5=$E13+1,$C13,""),"")</f>
        <v/>
      </c>
      <c r="CF13" s="34">
        <f>IF(AND(CF$5&gt;$E13,CF$5&lt;=$F13),IF(CF$5=$E13+1,$C13,""),"")</f>
        <v/>
      </c>
      <c r="CG13" s="34">
        <f>IF(AND(CG$5&gt;$E13,CG$5&lt;=$F13),IF(CG$5=$E13+1,$C13,""),"")</f>
        <v/>
      </c>
      <c r="CH13" s="34">
        <f>IF(AND(CH$5&gt;$E13,CH$5&lt;=$F13),IF(CH$5=$E13+1,$C13,""),"")</f>
        <v/>
      </c>
      <c r="CI13" s="34">
        <f>IF(AND(CI$5&gt;$E13,CI$5&lt;=$F13),IF(CI$5=$E13+1,$C13,""),"")</f>
        <v/>
      </c>
      <c r="CJ13" s="34">
        <f>IF(AND(CJ$5&gt;$E13,CJ$5&lt;=$F13),IF(CJ$5=$E13+1,$C13,""),"")</f>
        <v/>
      </c>
      <c r="CK13" s="34">
        <f>IF(AND(CK$5&gt;$E13,CK$5&lt;=$F13),IF(CK$5=$E13+1,$C13,""),"")</f>
        <v/>
      </c>
      <c r="CL13" s="34">
        <f>IF(AND(CL$5&gt;$E13,CL$5&lt;=$F13),IF(CL$5=$E13+1,$C13,""),"")</f>
        <v/>
      </c>
      <c r="CM13" s="34">
        <f>IF(AND(CM$5&gt;$E13,CM$5&lt;=$F13),IF(CM$5=$E13+1,$C13,""),"")</f>
        <v/>
      </c>
      <c r="CN13" s="34">
        <f>IF(AND(CN$5&gt;$E13,CN$5&lt;=$F13),IF(CN$5=$E13+1,$C13,""),"")</f>
        <v/>
      </c>
      <c r="CO13" s="34">
        <f>IF(AND(CO$5&gt;$E13,CO$5&lt;=$F13),IF(CO$5=$E13+1,$C13,""),"")</f>
        <v/>
      </c>
      <c r="CP13" s="34">
        <f>IF(AND(CP$5&gt;$E13,CP$5&lt;=$F13),IF(CP$5=$E13+1,$C13,""),"")</f>
        <v/>
      </c>
      <c r="CQ13" s="34">
        <f>IF(AND(CQ$5&gt;$E13,CQ$5&lt;=$F13),IF(CQ$5=$E13+1,$C13,""),"")</f>
        <v/>
      </c>
      <c r="CR13" s="34">
        <f>IF(AND(CR$5&gt;$E13,CR$5&lt;=$F13),IF(CR$5=$E13+1,$C13,""),"")</f>
        <v/>
      </c>
      <c r="CS13" s="34">
        <f>IF(AND(CS$5&gt;$E13,CS$5&lt;=$F13),IF(CS$5=$E13+1,$C13,""),"")</f>
        <v/>
      </c>
    </row>
    <row r="14">
      <c r="A14" s="32">
        <f>Plan!A9</f>
        <v/>
      </c>
      <c r="B14" s="33">
        <f>Plan!C9</f>
        <v/>
      </c>
      <c r="C14" s="16">
        <f>Plan!D9</f>
        <v/>
      </c>
      <c r="D14" s="16">
        <f>Plan!I9</f>
        <v/>
      </c>
      <c r="E14" s="16">
        <f>Plan!K9</f>
        <v/>
      </c>
      <c r="F14" s="16">
        <f>Plan!L9</f>
        <v/>
      </c>
      <c r="G14" s="16">
        <f>Plan!O9</f>
        <v/>
      </c>
      <c r="H14" s="34">
        <f>IF(AND(H$5&gt;$E14,H$5&lt;=$F14),IF(H$5=$E14+1,$C14,""),"")</f>
        <v/>
      </c>
      <c r="I14" s="34">
        <f>IF(AND(I$5&gt;$E14,I$5&lt;=$F14),IF(I$5=$E14+1,$C14,""),"")</f>
        <v/>
      </c>
      <c r="J14" s="34">
        <f>IF(AND(J$5&gt;$E14,J$5&lt;=$F14),IF(J$5=$E14+1,$C14,""),"")</f>
        <v/>
      </c>
      <c r="K14" s="34">
        <f>IF(AND(K$5&gt;$E14,K$5&lt;=$F14),IF(K$5=$E14+1,$C14,""),"")</f>
        <v/>
      </c>
      <c r="L14" s="34">
        <f>IF(AND(L$5&gt;$E14,L$5&lt;=$F14),IF(L$5=$E14+1,$C14,""),"")</f>
        <v/>
      </c>
      <c r="M14" s="34">
        <f>IF(AND(M$5&gt;$E14,M$5&lt;=$F14),IF(M$5=$E14+1,$C14,""),"")</f>
        <v/>
      </c>
      <c r="N14" s="34">
        <f>IF(AND(N$5&gt;$E14,N$5&lt;=$F14),IF(N$5=$E14+1,$C14,""),"")</f>
        <v/>
      </c>
      <c r="O14" s="34">
        <f>IF(AND(O$5&gt;$E14,O$5&lt;=$F14),IF(O$5=$E14+1,$C14,""),"")</f>
        <v/>
      </c>
      <c r="P14" s="34">
        <f>IF(AND(P$5&gt;$E14,P$5&lt;=$F14),IF(P$5=$E14+1,$C14,""),"")</f>
        <v/>
      </c>
      <c r="Q14" s="34">
        <f>IF(AND(Q$5&gt;$E14,Q$5&lt;=$F14),IF(Q$5=$E14+1,$C14,""),"")</f>
        <v/>
      </c>
      <c r="R14" s="34">
        <f>IF(AND(R$5&gt;$E14,R$5&lt;=$F14),IF(R$5=$E14+1,$C14,""),"")</f>
        <v/>
      </c>
      <c r="S14" s="34">
        <f>IF(AND(S$5&gt;$E14,S$5&lt;=$F14),IF(S$5=$E14+1,$C14,""),"")</f>
        <v/>
      </c>
      <c r="T14" s="34">
        <f>IF(AND(T$5&gt;$E14,T$5&lt;=$F14),IF(T$5=$E14+1,$C14,""),"")</f>
        <v/>
      </c>
      <c r="U14" s="34">
        <f>IF(AND(U$5&gt;$E14,U$5&lt;=$F14),IF(U$5=$E14+1,$C14,""),"")</f>
        <v/>
      </c>
      <c r="V14" s="34">
        <f>IF(AND(V$5&gt;$E14,V$5&lt;=$F14),IF(V$5=$E14+1,$C14,""),"")</f>
        <v/>
      </c>
      <c r="W14" s="34">
        <f>IF(AND(W$5&gt;$E14,W$5&lt;=$F14),IF(W$5=$E14+1,$C14,""),"")</f>
        <v/>
      </c>
      <c r="X14" s="34">
        <f>IF(AND(X$5&gt;$E14,X$5&lt;=$F14),IF(X$5=$E14+1,$C14,""),"")</f>
        <v/>
      </c>
      <c r="Y14" s="34">
        <f>IF(AND(Y$5&gt;$E14,Y$5&lt;=$F14),IF(Y$5=$E14+1,$C14,""),"")</f>
        <v/>
      </c>
      <c r="Z14" s="34">
        <f>IF(AND(Z$5&gt;$E14,Z$5&lt;=$F14),IF(Z$5=$E14+1,$C14,""),"")</f>
        <v/>
      </c>
      <c r="AA14" s="34">
        <f>IF(AND(AA$5&gt;$E14,AA$5&lt;=$F14),IF(AA$5=$E14+1,$C14,""),"")</f>
        <v/>
      </c>
      <c r="AB14" s="34">
        <f>IF(AND(AB$5&gt;$E14,AB$5&lt;=$F14),IF(AB$5=$E14+1,$C14,""),"")</f>
        <v/>
      </c>
      <c r="AC14" s="34">
        <f>IF(AND(AC$5&gt;$E14,AC$5&lt;=$F14),IF(AC$5=$E14+1,$C14,""),"")</f>
        <v/>
      </c>
      <c r="AD14" s="34">
        <f>IF(AND(AD$5&gt;$E14,AD$5&lt;=$F14),IF(AD$5=$E14+1,$C14,""),"")</f>
        <v/>
      </c>
      <c r="AE14" s="34">
        <f>IF(AND(AE$5&gt;$E14,AE$5&lt;=$F14),IF(AE$5=$E14+1,$C14,""),"")</f>
        <v/>
      </c>
      <c r="AF14" s="34">
        <f>IF(AND(AF$5&gt;$E14,AF$5&lt;=$F14),IF(AF$5=$E14+1,$C14,""),"")</f>
        <v/>
      </c>
      <c r="AG14" s="34">
        <f>IF(AND(AG$5&gt;$E14,AG$5&lt;=$F14),IF(AG$5=$E14+1,$C14,""),"")</f>
        <v/>
      </c>
      <c r="AH14" s="34">
        <f>IF(AND(AH$5&gt;$E14,AH$5&lt;=$F14),IF(AH$5=$E14+1,$C14,""),"")</f>
        <v/>
      </c>
      <c r="AI14" s="34">
        <f>IF(AND(AI$5&gt;$E14,AI$5&lt;=$F14),IF(AI$5=$E14+1,$C14,""),"")</f>
        <v/>
      </c>
      <c r="AJ14" s="34">
        <f>IF(AND(AJ$5&gt;$E14,AJ$5&lt;=$F14),IF(AJ$5=$E14+1,$C14,""),"")</f>
        <v/>
      </c>
      <c r="AK14" s="34">
        <f>IF(AND(AK$5&gt;$E14,AK$5&lt;=$F14),IF(AK$5=$E14+1,$C14,""),"")</f>
        <v/>
      </c>
      <c r="AL14" s="34">
        <f>IF(AND(AL$5&gt;$E14,AL$5&lt;=$F14),IF(AL$5=$E14+1,$C14,""),"")</f>
        <v/>
      </c>
      <c r="AM14" s="34">
        <f>IF(AND(AM$5&gt;$E14,AM$5&lt;=$F14),IF(AM$5=$E14+1,$C14,""),"")</f>
        <v/>
      </c>
      <c r="AN14" s="34">
        <f>IF(AND(AN$5&gt;$E14,AN$5&lt;=$F14),IF(AN$5=$E14+1,$C14,""),"")</f>
        <v/>
      </c>
      <c r="AO14" s="34">
        <f>IF(AND(AO$5&gt;$E14,AO$5&lt;=$F14),IF(AO$5=$E14+1,$C14,""),"")</f>
        <v/>
      </c>
      <c r="AP14" s="34">
        <f>IF(AND(AP$5&gt;$E14,AP$5&lt;=$F14),IF(AP$5=$E14+1,$C14,""),"")</f>
        <v/>
      </c>
      <c r="AQ14" s="34">
        <f>IF(AND(AQ$5&gt;$E14,AQ$5&lt;=$F14),IF(AQ$5=$E14+1,$C14,""),"")</f>
        <v/>
      </c>
      <c r="AR14" s="34">
        <f>IF(AND(AR$5&gt;$E14,AR$5&lt;=$F14),IF(AR$5=$E14+1,$C14,""),"")</f>
        <v/>
      </c>
      <c r="AS14" s="34">
        <f>IF(AND(AS$5&gt;$E14,AS$5&lt;=$F14),IF(AS$5=$E14+1,$C14,""),"")</f>
        <v/>
      </c>
      <c r="AT14" s="34">
        <f>IF(AND(AT$5&gt;$E14,AT$5&lt;=$F14),IF(AT$5=$E14+1,$C14,""),"")</f>
        <v/>
      </c>
      <c r="AU14" s="34">
        <f>IF(AND(AU$5&gt;$E14,AU$5&lt;=$F14),IF(AU$5=$E14+1,$C14,""),"")</f>
        <v/>
      </c>
      <c r="AV14" s="34">
        <f>IF(AND(AV$5&gt;$E14,AV$5&lt;=$F14),IF(AV$5=$E14+1,$C14,""),"")</f>
        <v/>
      </c>
      <c r="AW14" s="34">
        <f>IF(AND(AW$5&gt;$E14,AW$5&lt;=$F14),IF(AW$5=$E14+1,$C14,""),"")</f>
        <v/>
      </c>
      <c r="AX14" s="34">
        <f>IF(AND(AX$5&gt;$E14,AX$5&lt;=$F14),IF(AX$5=$E14+1,$C14,""),"")</f>
        <v/>
      </c>
      <c r="AY14" s="34">
        <f>IF(AND(AY$5&gt;$E14,AY$5&lt;=$F14),IF(AY$5=$E14+1,$C14,""),"")</f>
        <v/>
      </c>
      <c r="AZ14" s="34">
        <f>IF(AND(AZ$5&gt;$E14,AZ$5&lt;=$F14),IF(AZ$5=$E14+1,$C14,""),"")</f>
        <v/>
      </c>
      <c r="BA14" s="34">
        <f>IF(AND(BA$5&gt;$E14,BA$5&lt;=$F14),IF(BA$5=$E14+1,$C14,""),"")</f>
        <v/>
      </c>
      <c r="BB14" s="34">
        <f>IF(AND(BB$5&gt;$E14,BB$5&lt;=$F14),IF(BB$5=$E14+1,$C14,""),"")</f>
        <v/>
      </c>
      <c r="BC14" s="34">
        <f>IF(AND(BC$5&gt;$E14,BC$5&lt;=$F14),IF(BC$5=$E14+1,$C14,""),"")</f>
        <v/>
      </c>
      <c r="BD14" s="34">
        <f>IF(AND(BD$5&gt;$E14,BD$5&lt;=$F14),IF(BD$5=$E14+1,$C14,""),"")</f>
        <v/>
      </c>
      <c r="BE14" s="34">
        <f>IF(AND(BE$5&gt;$E14,BE$5&lt;=$F14),IF(BE$5=$E14+1,$C14,""),"")</f>
        <v/>
      </c>
      <c r="BF14" s="34">
        <f>IF(AND(BF$5&gt;$E14,BF$5&lt;=$F14),IF(BF$5=$E14+1,$C14,""),"")</f>
        <v/>
      </c>
      <c r="BG14" s="34">
        <f>IF(AND(BG$5&gt;$E14,BG$5&lt;=$F14),IF(BG$5=$E14+1,$C14,""),"")</f>
        <v/>
      </c>
      <c r="BH14" s="34">
        <f>IF(AND(BH$5&gt;$E14,BH$5&lt;=$F14),IF(BH$5=$E14+1,$C14,""),"")</f>
        <v/>
      </c>
      <c r="BI14" s="34">
        <f>IF(AND(BI$5&gt;$E14,BI$5&lt;=$F14),IF(BI$5=$E14+1,$C14,""),"")</f>
        <v/>
      </c>
      <c r="BJ14" s="34">
        <f>IF(AND(BJ$5&gt;$E14,BJ$5&lt;=$F14),IF(BJ$5=$E14+1,$C14,""),"")</f>
        <v/>
      </c>
      <c r="BK14" s="34">
        <f>IF(AND(BK$5&gt;$E14,BK$5&lt;=$F14),IF(BK$5=$E14+1,$C14,""),"")</f>
        <v/>
      </c>
      <c r="BL14" s="34">
        <f>IF(AND(BL$5&gt;$E14,BL$5&lt;=$F14),IF(BL$5=$E14+1,$C14,""),"")</f>
        <v/>
      </c>
      <c r="BM14" s="34">
        <f>IF(AND(BM$5&gt;$E14,BM$5&lt;=$F14),IF(BM$5=$E14+1,$C14,""),"")</f>
        <v/>
      </c>
      <c r="BN14" s="34">
        <f>IF(AND(BN$5&gt;$E14,BN$5&lt;=$F14),IF(BN$5=$E14+1,$C14,""),"")</f>
        <v/>
      </c>
      <c r="BO14" s="34">
        <f>IF(AND(BO$5&gt;$E14,BO$5&lt;=$F14),IF(BO$5=$E14+1,$C14,""),"")</f>
        <v/>
      </c>
      <c r="BP14" s="34">
        <f>IF(AND(BP$5&gt;$E14,BP$5&lt;=$F14),IF(BP$5=$E14+1,$C14,""),"")</f>
        <v/>
      </c>
      <c r="BQ14" s="34">
        <f>IF(AND(BQ$5&gt;$E14,BQ$5&lt;=$F14),IF(BQ$5=$E14+1,$C14,""),"")</f>
        <v/>
      </c>
      <c r="BR14" s="34">
        <f>IF(AND(BR$5&gt;$E14,BR$5&lt;=$F14),IF(BR$5=$E14+1,$C14,""),"")</f>
        <v/>
      </c>
      <c r="BS14" s="34">
        <f>IF(AND(BS$5&gt;$E14,BS$5&lt;=$F14),IF(BS$5=$E14+1,$C14,""),"")</f>
        <v/>
      </c>
      <c r="BT14" s="34">
        <f>IF(AND(BT$5&gt;$E14,BT$5&lt;=$F14),IF(BT$5=$E14+1,$C14,""),"")</f>
        <v/>
      </c>
      <c r="BU14" s="34">
        <f>IF(AND(BU$5&gt;$E14,BU$5&lt;=$F14),IF(BU$5=$E14+1,$C14,""),"")</f>
        <v/>
      </c>
      <c r="BV14" s="34">
        <f>IF(AND(BV$5&gt;$E14,BV$5&lt;=$F14),IF(BV$5=$E14+1,$C14,""),"")</f>
        <v/>
      </c>
      <c r="BW14" s="34">
        <f>IF(AND(BW$5&gt;$E14,BW$5&lt;=$F14),IF(BW$5=$E14+1,$C14,""),"")</f>
        <v/>
      </c>
      <c r="BX14" s="34">
        <f>IF(AND(BX$5&gt;$E14,BX$5&lt;=$F14),IF(BX$5=$E14+1,$C14,""),"")</f>
        <v/>
      </c>
      <c r="BY14" s="34">
        <f>IF(AND(BY$5&gt;$E14,BY$5&lt;=$F14),IF(BY$5=$E14+1,$C14,""),"")</f>
        <v/>
      </c>
      <c r="BZ14" s="34">
        <f>IF(AND(BZ$5&gt;$E14,BZ$5&lt;=$F14),IF(BZ$5=$E14+1,$C14,""),"")</f>
        <v/>
      </c>
      <c r="CA14" s="34">
        <f>IF(AND(CA$5&gt;$E14,CA$5&lt;=$F14),IF(CA$5=$E14+1,$C14,""),"")</f>
        <v/>
      </c>
      <c r="CB14" s="34">
        <f>IF(AND(CB$5&gt;$E14,CB$5&lt;=$F14),IF(CB$5=$E14+1,$C14,""),"")</f>
        <v/>
      </c>
      <c r="CC14" s="34">
        <f>IF(AND(CC$5&gt;$E14,CC$5&lt;=$F14),IF(CC$5=$E14+1,$C14,""),"")</f>
        <v/>
      </c>
      <c r="CD14" s="34">
        <f>IF(AND(CD$5&gt;$E14,CD$5&lt;=$F14),IF(CD$5=$E14+1,$C14,""),"")</f>
        <v/>
      </c>
      <c r="CE14" s="34">
        <f>IF(AND(CE$5&gt;$E14,CE$5&lt;=$F14),IF(CE$5=$E14+1,$C14,""),"")</f>
        <v/>
      </c>
      <c r="CF14" s="34">
        <f>IF(AND(CF$5&gt;$E14,CF$5&lt;=$F14),IF(CF$5=$E14+1,$C14,""),"")</f>
        <v/>
      </c>
      <c r="CG14" s="34">
        <f>IF(AND(CG$5&gt;$E14,CG$5&lt;=$F14),IF(CG$5=$E14+1,$C14,""),"")</f>
        <v/>
      </c>
      <c r="CH14" s="34">
        <f>IF(AND(CH$5&gt;$E14,CH$5&lt;=$F14),IF(CH$5=$E14+1,$C14,""),"")</f>
        <v/>
      </c>
      <c r="CI14" s="34">
        <f>IF(AND(CI$5&gt;$E14,CI$5&lt;=$F14),IF(CI$5=$E14+1,$C14,""),"")</f>
        <v/>
      </c>
      <c r="CJ14" s="34">
        <f>IF(AND(CJ$5&gt;$E14,CJ$5&lt;=$F14),IF(CJ$5=$E14+1,$C14,""),"")</f>
        <v/>
      </c>
      <c r="CK14" s="34">
        <f>IF(AND(CK$5&gt;$E14,CK$5&lt;=$F14),IF(CK$5=$E14+1,$C14,""),"")</f>
        <v/>
      </c>
      <c r="CL14" s="34">
        <f>IF(AND(CL$5&gt;$E14,CL$5&lt;=$F14),IF(CL$5=$E14+1,$C14,""),"")</f>
        <v/>
      </c>
      <c r="CM14" s="34">
        <f>IF(AND(CM$5&gt;$E14,CM$5&lt;=$F14),IF(CM$5=$E14+1,$C14,""),"")</f>
        <v/>
      </c>
      <c r="CN14" s="34">
        <f>IF(AND(CN$5&gt;$E14,CN$5&lt;=$F14),IF(CN$5=$E14+1,$C14,""),"")</f>
        <v/>
      </c>
      <c r="CO14" s="34">
        <f>IF(AND(CO$5&gt;$E14,CO$5&lt;=$F14),IF(CO$5=$E14+1,$C14,""),"")</f>
        <v/>
      </c>
      <c r="CP14" s="34">
        <f>IF(AND(CP$5&gt;$E14,CP$5&lt;=$F14),IF(CP$5=$E14+1,$C14,""),"")</f>
        <v/>
      </c>
      <c r="CQ14" s="34">
        <f>IF(AND(CQ$5&gt;$E14,CQ$5&lt;=$F14),IF(CQ$5=$E14+1,$C14,""),"")</f>
        <v/>
      </c>
      <c r="CR14" s="34">
        <f>IF(AND(CR$5&gt;$E14,CR$5&lt;=$F14),IF(CR$5=$E14+1,$C14,""),"")</f>
        <v/>
      </c>
      <c r="CS14" s="34">
        <f>IF(AND(CS$5&gt;$E14,CS$5&lt;=$F14),IF(CS$5=$E14+1,$C14,""),"")</f>
        <v/>
      </c>
    </row>
    <row r="15">
      <c r="A15" s="32">
        <f>Plan!A10</f>
        <v/>
      </c>
      <c r="B15" s="33">
        <f>Plan!C10</f>
        <v/>
      </c>
      <c r="C15" s="16">
        <f>Plan!D10</f>
        <v/>
      </c>
      <c r="D15" s="16">
        <f>Plan!I10</f>
        <v/>
      </c>
      <c r="E15" s="16">
        <f>Plan!K10</f>
        <v/>
      </c>
      <c r="F15" s="16">
        <f>Plan!L10</f>
        <v/>
      </c>
      <c r="G15" s="16">
        <f>Plan!O10</f>
        <v/>
      </c>
      <c r="H15" s="34">
        <f>IF(AND(H$5&gt;$E15,H$5&lt;=$F15),IF(H$5=$E15+1,$C15,""),"")</f>
        <v/>
      </c>
      <c r="I15" s="34">
        <f>IF(AND(I$5&gt;$E15,I$5&lt;=$F15),IF(I$5=$E15+1,$C15,""),"")</f>
        <v/>
      </c>
      <c r="J15" s="34">
        <f>IF(AND(J$5&gt;$E15,J$5&lt;=$F15),IF(J$5=$E15+1,$C15,""),"")</f>
        <v/>
      </c>
      <c r="K15" s="34">
        <f>IF(AND(K$5&gt;$E15,K$5&lt;=$F15),IF(K$5=$E15+1,$C15,""),"")</f>
        <v/>
      </c>
      <c r="L15" s="34">
        <f>IF(AND(L$5&gt;$E15,L$5&lt;=$F15),IF(L$5=$E15+1,$C15,""),"")</f>
        <v/>
      </c>
      <c r="M15" s="34">
        <f>IF(AND(M$5&gt;$E15,M$5&lt;=$F15),IF(M$5=$E15+1,$C15,""),"")</f>
        <v/>
      </c>
      <c r="N15" s="34">
        <f>IF(AND(N$5&gt;$E15,N$5&lt;=$F15),IF(N$5=$E15+1,$C15,""),"")</f>
        <v/>
      </c>
      <c r="O15" s="34">
        <f>IF(AND(O$5&gt;$E15,O$5&lt;=$F15),IF(O$5=$E15+1,$C15,""),"")</f>
        <v/>
      </c>
      <c r="P15" s="34">
        <f>IF(AND(P$5&gt;$E15,P$5&lt;=$F15),IF(P$5=$E15+1,$C15,""),"")</f>
        <v/>
      </c>
      <c r="Q15" s="34">
        <f>IF(AND(Q$5&gt;$E15,Q$5&lt;=$F15),IF(Q$5=$E15+1,$C15,""),"")</f>
        <v/>
      </c>
      <c r="R15" s="34">
        <f>IF(AND(R$5&gt;$E15,R$5&lt;=$F15),IF(R$5=$E15+1,$C15,""),"")</f>
        <v/>
      </c>
      <c r="S15" s="34">
        <f>IF(AND(S$5&gt;$E15,S$5&lt;=$F15),IF(S$5=$E15+1,$C15,""),"")</f>
        <v/>
      </c>
      <c r="T15" s="34">
        <f>IF(AND(T$5&gt;$E15,T$5&lt;=$F15),IF(T$5=$E15+1,$C15,""),"")</f>
        <v/>
      </c>
      <c r="U15" s="34">
        <f>IF(AND(U$5&gt;$E15,U$5&lt;=$F15),IF(U$5=$E15+1,$C15,""),"")</f>
        <v/>
      </c>
      <c r="V15" s="34">
        <f>IF(AND(V$5&gt;$E15,V$5&lt;=$F15),IF(V$5=$E15+1,$C15,""),"")</f>
        <v/>
      </c>
      <c r="W15" s="34">
        <f>IF(AND(W$5&gt;$E15,W$5&lt;=$F15),IF(W$5=$E15+1,$C15,""),"")</f>
        <v/>
      </c>
      <c r="X15" s="34">
        <f>IF(AND(X$5&gt;$E15,X$5&lt;=$F15),IF(X$5=$E15+1,$C15,""),"")</f>
        <v/>
      </c>
      <c r="Y15" s="34">
        <f>IF(AND(Y$5&gt;$E15,Y$5&lt;=$F15),IF(Y$5=$E15+1,$C15,""),"")</f>
        <v/>
      </c>
      <c r="Z15" s="34">
        <f>IF(AND(Z$5&gt;$E15,Z$5&lt;=$F15),IF(Z$5=$E15+1,$C15,""),"")</f>
        <v/>
      </c>
      <c r="AA15" s="34">
        <f>IF(AND(AA$5&gt;$E15,AA$5&lt;=$F15),IF(AA$5=$E15+1,$C15,""),"")</f>
        <v/>
      </c>
      <c r="AB15" s="34">
        <f>IF(AND(AB$5&gt;$E15,AB$5&lt;=$F15),IF(AB$5=$E15+1,$C15,""),"")</f>
        <v/>
      </c>
      <c r="AC15" s="34">
        <f>IF(AND(AC$5&gt;$E15,AC$5&lt;=$F15),IF(AC$5=$E15+1,$C15,""),"")</f>
        <v/>
      </c>
      <c r="AD15" s="34">
        <f>IF(AND(AD$5&gt;$E15,AD$5&lt;=$F15),IF(AD$5=$E15+1,$C15,""),"")</f>
        <v/>
      </c>
      <c r="AE15" s="34">
        <f>IF(AND(AE$5&gt;$E15,AE$5&lt;=$F15),IF(AE$5=$E15+1,$C15,""),"")</f>
        <v/>
      </c>
      <c r="AF15" s="34">
        <f>IF(AND(AF$5&gt;$E15,AF$5&lt;=$F15),IF(AF$5=$E15+1,$C15,""),"")</f>
        <v/>
      </c>
      <c r="AG15" s="34">
        <f>IF(AND(AG$5&gt;$E15,AG$5&lt;=$F15),IF(AG$5=$E15+1,$C15,""),"")</f>
        <v/>
      </c>
      <c r="AH15" s="34">
        <f>IF(AND(AH$5&gt;$E15,AH$5&lt;=$F15),IF(AH$5=$E15+1,$C15,""),"")</f>
        <v/>
      </c>
      <c r="AI15" s="34">
        <f>IF(AND(AI$5&gt;$E15,AI$5&lt;=$F15),IF(AI$5=$E15+1,$C15,""),"")</f>
        <v/>
      </c>
      <c r="AJ15" s="34">
        <f>IF(AND(AJ$5&gt;$E15,AJ$5&lt;=$F15),IF(AJ$5=$E15+1,$C15,""),"")</f>
        <v/>
      </c>
      <c r="AK15" s="34">
        <f>IF(AND(AK$5&gt;$E15,AK$5&lt;=$F15),IF(AK$5=$E15+1,$C15,""),"")</f>
        <v/>
      </c>
      <c r="AL15" s="34">
        <f>IF(AND(AL$5&gt;$E15,AL$5&lt;=$F15),IF(AL$5=$E15+1,$C15,""),"")</f>
        <v/>
      </c>
      <c r="AM15" s="34">
        <f>IF(AND(AM$5&gt;$E15,AM$5&lt;=$F15),IF(AM$5=$E15+1,$C15,""),"")</f>
        <v/>
      </c>
      <c r="AN15" s="34">
        <f>IF(AND(AN$5&gt;$E15,AN$5&lt;=$F15),IF(AN$5=$E15+1,$C15,""),"")</f>
        <v/>
      </c>
      <c r="AO15" s="34">
        <f>IF(AND(AO$5&gt;$E15,AO$5&lt;=$F15),IF(AO$5=$E15+1,$C15,""),"")</f>
        <v/>
      </c>
      <c r="AP15" s="34">
        <f>IF(AND(AP$5&gt;$E15,AP$5&lt;=$F15),IF(AP$5=$E15+1,$C15,""),"")</f>
        <v/>
      </c>
      <c r="AQ15" s="34">
        <f>IF(AND(AQ$5&gt;$E15,AQ$5&lt;=$F15),IF(AQ$5=$E15+1,$C15,""),"")</f>
        <v/>
      </c>
      <c r="AR15" s="34">
        <f>IF(AND(AR$5&gt;$E15,AR$5&lt;=$F15),IF(AR$5=$E15+1,$C15,""),"")</f>
        <v/>
      </c>
      <c r="AS15" s="34">
        <f>IF(AND(AS$5&gt;$E15,AS$5&lt;=$F15),IF(AS$5=$E15+1,$C15,""),"")</f>
        <v/>
      </c>
      <c r="AT15" s="34">
        <f>IF(AND(AT$5&gt;$E15,AT$5&lt;=$F15),IF(AT$5=$E15+1,$C15,""),"")</f>
        <v/>
      </c>
      <c r="AU15" s="34">
        <f>IF(AND(AU$5&gt;$E15,AU$5&lt;=$F15),IF(AU$5=$E15+1,$C15,""),"")</f>
        <v/>
      </c>
      <c r="AV15" s="34">
        <f>IF(AND(AV$5&gt;$E15,AV$5&lt;=$F15),IF(AV$5=$E15+1,$C15,""),"")</f>
        <v/>
      </c>
      <c r="AW15" s="34">
        <f>IF(AND(AW$5&gt;$E15,AW$5&lt;=$F15),IF(AW$5=$E15+1,$C15,""),"")</f>
        <v/>
      </c>
      <c r="AX15" s="34">
        <f>IF(AND(AX$5&gt;$E15,AX$5&lt;=$F15),IF(AX$5=$E15+1,$C15,""),"")</f>
        <v/>
      </c>
      <c r="AY15" s="34">
        <f>IF(AND(AY$5&gt;$E15,AY$5&lt;=$F15),IF(AY$5=$E15+1,$C15,""),"")</f>
        <v/>
      </c>
      <c r="AZ15" s="34">
        <f>IF(AND(AZ$5&gt;$E15,AZ$5&lt;=$F15),IF(AZ$5=$E15+1,$C15,""),"")</f>
        <v/>
      </c>
      <c r="BA15" s="34">
        <f>IF(AND(BA$5&gt;$E15,BA$5&lt;=$F15),IF(BA$5=$E15+1,$C15,""),"")</f>
        <v/>
      </c>
      <c r="BB15" s="34">
        <f>IF(AND(BB$5&gt;$E15,BB$5&lt;=$F15),IF(BB$5=$E15+1,$C15,""),"")</f>
        <v/>
      </c>
      <c r="BC15" s="34">
        <f>IF(AND(BC$5&gt;$E15,BC$5&lt;=$F15),IF(BC$5=$E15+1,$C15,""),"")</f>
        <v/>
      </c>
      <c r="BD15" s="34">
        <f>IF(AND(BD$5&gt;$E15,BD$5&lt;=$F15),IF(BD$5=$E15+1,$C15,""),"")</f>
        <v/>
      </c>
      <c r="BE15" s="34">
        <f>IF(AND(BE$5&gt;$E15,BE$5&lt;=$F15),IF(BE$5=$E15+1,$C15,""),"")</f>
        <v/>
      </c>
      <c r="BF15" s="34">
        <f>IF(AND(BF$5&gt;$E15,BF$5&lt;=$F15),IF(BF$5=$E15+1,$C15,""),"")</f>
        <v/>
      </c>
      <c r="BG15" s="34">
        <f>IF(AND(BG$5&gt;$E15,BG$5&lt;=$F15),IF(BG$5=$E15+1,$C15,""),"")</f>
        <v/>
      </c>
      <c r="BH15" s="34">
        <f>IF(AND(BH$5&gt;$E15,BH$5&lt;=$F15),IF(BH$5=$E15+1,$C15,""),"")</f>
        <v/>
      </c>
      <c r="BI15" s="34">
        <f>IF(AND(BI$5&gt;$E15,BI$5&lt;=$F15),IF(BI$5=$E15+1,$C15,""),"")</f>
        <v/>
      </c>
      <c r="BJ15" s="34">
        <f>IF(AND(BJ$5&gt;$E15,BJ$5&lt;=$F15),IF(BJ$5=$E15+1,$C15,""),"")</f>
        <v/>
      </c>
      <c r="BK15" s="34">
        <f>IF(AND(BK$5&gt;$E15,BK$5&lt;=$F15),IF(BK$5=$E15+1,$C15,""),"")</f>
        <v/>
      </c>
      <c r="BL15" s="34">
        <f>IF(AND(BL$5&gt;$E15,BL$5&lt;=$F15),IF(BL$5=$E15+1,$C15,""),"")</f>
        <v/>
      </c>
      <c r="BM15" s="34">
        <f>IF(AND(BM$5&gt;$E15,BM$5&lt;=$F15),IF(BM$5=$E15+1,$C15,""),"")</f>
        <v/>
      </c>
      <c r="BN15" s="34">
        <f>IF(AND(BN$5&gt;$E15,BN$5&lt;=$F15),IF(BN$5=$E15+1,$C15,""),"")</f>
        <v/>
      </c>
      <c r="BO15" s="34">
        <f>IF(AND(BO$5&gt;$E15,BO$5&lt;=$F15),IF(BO$5=$E15+1,$C15,""),"")</f>
        <v/>
      </c>
      <c r="BP15" s="34">
        <f>IF(AND(BP$5&gt;$E15,BP$5&lt;=$F15),IF(BP$5=$E15+1,$C15,""),"")</f>
        <v/>
      </c>
      <c r="BQ15" s="34">
        <f>IF(AND(BQ$5&gt;$E15,BQ$5&lt;=$F15),IF(BQ$5=$E15+1,$C15,""),"")</f>
        <v/>
      </c>
      <c r="BR15" s="34">
        <f>IF(AND(BR$5&gt;$E15,BR$5&lt;=$F15),IF(BR$5=$E15+1,$C15,""),"")</f>
        <v/>
      </c>
      <c r="BS15" s="34">
        <f>IF(AND(BS$5&gt;$E15,BS$5&lt;=$F15),IF(BS$5=$E15+1,$C15,""),"")</f>
        <v/>
      </c>
      <c r="BT15" s="34">
        <f>IF(AND(BT$5&gt;$E15,BT$5&lt;=$F15),IF(BT$5=$E15+1,$C15,""),"")</f>
        <v/>
      </c>
      <c r="BU15" s="34">
        <f>IF(AND(BU$5&gt;$E15,BU$5&lt;=$F15),IF(BU$5=$E15+1,$C15,""),"")</f>
        <v/>
      </c>
      <c r="BV15" s="34">
        <f>IF(AND(BV$5&gt;$E15,BV$5&lt;=$F15),IF(BV$5=$E15+1,$C15,""),"")</f>
        <v/>
      </c>
      <c r="BW15" s="34">
        <f>IF(AND(BW$5&gt;$E15,BW$5&lt;=$F15),IF(BW$5=$E15+1,$C15,""),"")</f>
        <v/>
      </c>
      <c r="BX15" s="34">
        <f>IF(AND(BX$5&gt;$E15,BX$5&lt;=$F15),IF(BX$5=$E15+1,$C15,""),"")</f>
        <v/>
      </c>
      <c r="BY15" s="34">
        <f>IF(AND(BY$5&gt;$E15,BY$5&lt;=$F15),IF(BY$5=$E15+1,$C15,""),"")</f>
        <v/>
      </c>
      <c r="BZ15" s="34">
        <f>IF(AND(BZ$5&gt;$E15,BZ$5&lt;=$F15),IF(BZ$5=$E15+1,$C15,""),"")</f>
        <v/>
      </c>
      <c r="CA15" s="34">
        <f>IF(AND(CA$5&gt;$E15,CA$5&lt;=$F15),IF(CA$5=$E15+1,$C15,""),"")</f>
        <v/>
      </c>
      <c r="CB15" s="34">
        <f>IF(AND(CB$5&gt;$E15,CB$5&lt;=$F15),IF(CB$5=$E15+1,$C15,""),"")</f>
        <v/>
      </c>
      <c r="CC15" s="34">
        <f>IF(AND(CC$5&gt;$E15,CC$5&lt;=$F15),IF(CC$5=$E15+1,$C15,""),"")</f>
        <v/>
      </c>
      <c r="CD15" s="34">
        <f>IF(AND(CD$5&gt;$E15,CD$5&lt;=$F15),IF(CD$5=$E15+1,$C15,""),"")</f>
        <v/>
      </c>
      <c r="CE15" s="34">
        <f>IF(AND(CE$5&gt;$E15,CE$5&lt;=$F15),IF(CE$5=$E15+1,$C15,""),"")</f>
        <v/>
      </c>
      <c r="CF15" s="34">
        <f>IF(AND(CF$5&gt;$E15,CF$5&lt;=$F15),IF(CF$5=$E15+1,$C15,""),"")</f>
        <v/>
      </c>
      <c r="CG15" s="34">
        <f>IF(AND(CG$5&gt;$E15,CG$5&lt;=$F15),IF(CG$5=$E15+1,$C15,""),"")</f>
        <v/>
      </c>
      <c r="CH15" s="34">
        <f>IF(AND(CH$5&gt;$E15,CH$5&lt;=$F15),IF(CH$5=$E15+1,$C15,""),"")</f>
        <v/>
      </c>
      <c r="CI15" s="34">
        <f>IF(AND(CI$5&gt;$E15,CI$5&lt;=$F15),IF(CI$5=$E15+1,$C15,""),"")</f>
        <v/>
      </c>
      <c r="CJ15" s="34">
        <f>IF(AND(CJ$5&gt;$E15,CJ$5&lt;=$F15),IF(CJ$5=$E15+1,$C15,""),"")</f>
        <v/>
      </c>
      <c r="CK15" s="34">
        <f>IF(AND(CK$5&gt;$E15,CK$5&lt;=$F15),IF(CK$5=$E15+1,$C15,""),"")</f>
        <v/>
      </c>
      <c r="CL15" s="34">
        <f>IF(AND(CL$5&gt;$E15,CL$5&lt;=$F15),IF(CL$5=$E15+1,$C15,""),"")</f>
        <v/>
      </c>
      <c r="CM15" s="34">
        <f>IF(AND(CM$5&gt;$E15,CM$5&lt;=$F15),IF(CM$5=$E15+1,$C15,""),"")</f>
        <v/>
      </c>
      <c r="CN15" s="34">
        <f>IF(AND(CN$5&gt;$E15,CN$5&lt;=$F15),IF(CN$5=$E15+1,$C15,""),"")</f>
        <v/>
      </c>
      <c r="CO15" s="34">
        <f>IF(AND(CO$5&gt;$E15,CO$5&lt;=$F15),IF(CO$5=$E15+1,$C15,""),"")</f>
        <v/>
      </c>
      <c r="CP15" s="34">
        <f>IF(AND(CP$5&gt;$E15,CP$5&lt;=$F15),IF(CP$5=$E15+1,$C15,""),"")</f>
        <v/>
      </c>
      <c r="CQ15" s="34">
        <f>IF(AND(CQ$5&gt;$E15,CQ$5&lt;=$F15),IF(CQ$5=$E15+1,$C15,""),"")</f>
        <v/>
      </c>
      <c r="CR15" s="34">
        <f>IF(AND(CR$5&gt;$E15,CR$5&lt;=$F15),IF(CR$5=$E15+1,$C15,""),"")</f>
        <v/>
      </c>
      <c r="CS15" s="34">
        <f>IF(AND(CS$5&gt;$E15,CS$5&lt;=$F15),IF(CS$5=$E15+1,$C15,""),"")</f>
        <v/>
      </c>
    </row>
    <row r="16">
      <c r="A16" s="32">
        <f>Plan!A11</f>
        <v/>
      </c>
      <c r="B16" s="33">
        <f>Plan!C11</f>
        <v/>
      </c>
      <c r="C16" s="16">
        <f>Plan!D11</f>
        <v/>
      </c>
      <c r="D16" s="16">
        <f>Plan!I11</f>
        <v/>
      </c>
      <c r="E16" s="16">
        <f>Plan!K11</f>
        <v/>
      </c>
      <c r="F16" s="16">
        <f>Plan!L11</f>
        <v/>
      </c>
      <c r="G16" s="16">
        <f>Plan!O11</f>
        <v/>
      </c>
      <c r="H16" s="34">
        <f>IF(AND(H$5&gt;$E16,H$5&lt;=$F16),IF(H$5=$E16+1,$C16,""),"")</f>
        <v/>
      </c>
      <c r="I16" s="34">
        <f>IF(AND(I$5&gt;$E16,I$5&lt;=$F16),IF(I$5=$E16+1,$C16,""),"")</f>
        <v/>
      </c>
      <c r="J16" s="34">
        <f>IF(AND(J$5&gt;$E16,J$5&lt;=$F16),IF(J$5=$E16+1,$C16,""),"")</f>
        <v/>
      </c>
      <c r="K16" s="34">
        <f>IF(AND(K$5&gt;$E16,K$5&lt;=$F16),IF(K$5=$E16+1,$C16,""),"")</f>
        <v/>
      </c>
      <c r="L16" s="34">
        <f>IF(AND(L$5&gt;$E16,L$5&lt;=$F16),IF(L$5=$E16+1,$C16,""),"")</f>
        <v/>
      </c>
      <c r="M16" s="34">
        <f>IF(AND(M$5&gt;$E16,M$5&lt;=$F16),IF(M$5=$E16+1,$C16,""),"")</f>
        <v/>
      </c>
      <c r="N16" s="34">
        <f>IF(AND(N$5&gt;$E16,N$5&lt;=$F16),IF(N$5=$E16+1,$C16,""),"")</f>
        <v/>
      </c>
      <c r="O16" s="34">
        <f>IF(AND(O$5&gt;$E16,O$5&lt;=$F16),IF(O$5=$E16+1,$C16,""),"")</f>
        <v/>
      </c>
      <c r="P16" s="34">
        <f>IF(AND(P$5&gt;$E16,P$5&lt;=$F16),IF(P$5=$E16+1,$C16,""),"")</f>
        <v/>
      </c>
      <c r="Q16" s="34">
        <f>IF(AND(Q$5&gt;$E16,Q$5&lt;=$F16),IF(Q$5=$E16+1,$C16,""),"")</f>
        <v/>
      </c>
      <c r="R16" s="34">
        <f>IF(AND(R$5&gt;$E16,R$5&lt;=$F16),IF(R$5=$E16+1,$C16,""),"")</f>
        <v/>
      </c>
      <c r="S16" s="34">
        <f>IF(AND(S$5&gt;$E16,S$5&lt;=$F16),IF(S$5=$E16+1,$C16,""),"")</f>
        <v/>
      </c>
      <c r="T16" s="34">
        <f>IF(AND(T$5&gt;$E16,T$5&lt;=$F16),IF(T$5=$E16+1,$C16,""),"")</f>
        <v/>
      </c>
      <c r="U16" s="34">
        <f>IF(AND(U$5&gt;$E16,U$5&lt;=$F16),IF(U$5=$E16+1,$C16,""),"")</f>
        <v/>
      </c>
      <c r="V16" s="34">
        <f>IF(AND(V$5&gt;$E16,V$5&lt;=$F16),IF(V$5=$E16+1,$C16,""),"")</f>
        <v/>
      </c>
      <c r="W16" s="34">
        <f>IF(AND(W$5&gt;$E16,W$5&lt;=$F16),IF(W$5=$E16+1,$C16,""),"")</f>
        <v/>
      </c>
      <c r="X16" s="34">
        <f>IF(AND(X$5&gt;$E16,X$5&lt;=$F16),IF(X$5=$E16+1,$C16,""),"")</f>
        <v/>
      </c>
      <c r="Y16" s="34">
        <f>IF(AND(Y$5&gt;$E16,Y$5&lt;=$F16),IF(Y$5=$E16+1,$C16,""),"")</f>
        <v/>
      </c>
      <c r="Z16" s="34">
        <f>IF(AND(Z$5&gt;$E16,Z$5&lt;=$F16),IF(Z$5=$E16+1,$C16,""),"")</f>
        <v/>
      </c>
      <c r="AA16" s="34">
        <f>IF(AND(AA$5&gt;$E16,AA$5&lt;=$F16),IF(AA$5=$E16+1,$C16,""),"")</f>
        <v/>
      </c>
      <c r="AB16" s="34">
        <f>IF(AND(AB$5&gt;$E16,AB$5&lt;=$F16),IF(AB$5=$E16+1,$C16,""),"")</f>
        <v/>
      </c>
      <c r="AC16" s="34">
        <f>IF(AND(AC$5&gt;$E16,AC$5&lt;=$F16),IF(AC$5=$E16+1,$C16,""),"")</f>
        <v/>
      </c>
      <c r="AD16" s="34">
        <f>IF(AND(AD$5&gt;$E16,AD$5&lt;=$F16),IF(AD$5=$E16+1,$C16,""),"")</f>
        <v/>
      </c>
      <c r="AE16" s="34">
        <f>IF(AND(AE$5&gt;$E16,AE$5&lt;=$F16),IF(AE$5=$E16+1,$C16,""),"")</f>
        <v/>
      </c>
      <c r="AF16" s="34">
        <f>IF(AND(AF$5&gt;$E16,AF$5&lt;=$F16),IF(AF$5=$E16+1,$C16,""),"")</f>
        <v/>
      </c>
      <c r="AG16" s="34">
        <f>IF(AND(AG$5&gt;$E16,AG$5&lt;=$F16),IF(AG$5=$E16+1,$C16,""),"")</f>
        <v/>
      </c>
      <c r="AH16" s="34">
        <f>IF(AND(AH$5&gt;$E16,AH$5&lt;=$F16),IF(AH$5=$E16+1,$C16,""),"")</f>
        <v/>
      </c>
      <c r="AI16" s="34">
        <f>IF(AND(AI$5&gt;$E16,AI$5&lt;=$F16),IF(AI$5=$E16+1,$C16,""),"")</f>
        <v/>
      </c>
      <c r="AJ16" s="34">
        <f>IF(AND(AJ$5&gt;$E16,AJ$5&lt;=$F16),IF(AJ$5=$E16+1,$C16,""),"")</f>
        <v/>
      </c>
      <c r="AK16" s="34">
        <f>IF(AND(AK$5&gt;$E16,AK$5&lt;=$F16),IF(AK$5=$E16+1,$C16,""),"")</f>
        <v/>
      </c>
      <c r="AL16" s="34">
        <f>IF(AND(AL$5&gt;$E16,AL$5&lt;=$F16),IF(AL$5=$E16+1,$C16,""),"")</f>
        <v/>
      </c>
      <c r="AM16" s="34">
        <f>IF(AND(AM$5&gt;$E16,AM$5&lt;=$F16),IF(AM$5=$E16+1,$C16,""),"")</f>
        <v/>
      </c>
      <c r="AN16" s="34">
        <f>IF(AND(AN$5&gt;$E16,AN$5&lt;=$F16),IF(AN$5=$E16+1,$C16,""),"")</f>
        <v/>
      </c>
      <c r="AO16" s="34">
        <f>IF(AND(AO$5&gt;$E16,AO$5&lt;=$F16),IF(AO$5=$E16+1,$C16,""),"")</f>
        <v/>
      </c>
      <c r="AP16" s="34">
        <f>IF(AND(AP$5&gt;$E16,AP$5&lt;=$F16),IF(AP$5=$E16+1,$C16,""),"")</f>
        <v/>
      </c>
      <c r="AQ16" s="34">
        <f>IF(AND(AQ$5&gt;$E16,AQ$5&lt;=$F16),IF(AQ$5=$E16+1,$C16,""),"")</f>
        <v/>
      </c>
      <c r="AR16" s="34">
        <f>IF(AND(AR$5&gt;$E16,AR$5&lt;=$F16),IF(AR$5=$E16+1,$C16,""),"")</f>
        <v/>
      </c>
      <c r="AS16" s="34">
        <f>IF(AND(AS$5&gt;$E16,AS$5&lt;=$F16),IF(AS$5=$E16+1,$C16,""),"")</f>
        <v/>
      </c>
      <c r="AT16" s="34">
        <f>IF(AND(AT$5&gt;$E16,AT$5&lt;=$F16),IF(AT$5=$E16+1,$C16,""),"")</f>
        <v/>
      </c>
      <c r="AU16" s="34">
        <f>IF(AND(AU$5&gt;$E16,AU$5&lt;=$F16),IF(AU$5=$E16+1,$C16,""),"")</f>
        <v/>
      </c>
      <c r="AV16" s="34">
        <f>IF(AND(AV$5&gt;$E16,AV$5&lt;=$F16),IF(AV$5=$E16+1,$C16,""),"")</f>
        <v/>
      </c>
      <c r="AW16" s="34">
        <f>IF(AND(AW$5&gt;$E16,AW$5&lt;=$F16),IF(AW$5=$E16+1,$C16,""),"")</f>
        <v/>
      </c>
      <c r="AX16" s="34">
        <f>IF(AND(AX$5&gt;$E16,AX$5&lt;=$F16),IF(AX$5=$E16+1,$C16,""),"")</f>
        <v/>
      </c>
      <c r="AY16" s="34">
        <f>IF(AND(AY$5&gt;$E16,AY$5&lt;=$F16),IF(AY$5=$E16+1,$C16,""),"")</f>
        <v/>
      </c>
      <c r="AZ16" s="34">
        <f>IF(AND(AZ$5&gt;$E16,AZ$5&lt;=$F16),IF(AZ$5=$E16+1,$C16,""),"")</f>
        <v/>
      </c>
      <c r="BA16" s="34">
        <f>IF(AND(BA$5&gt;$E16,BA$5&lt;=$F16),IF(BA$5=$E16+1,$C16,""),"")</f>
        <v/>
      </c>
      <c r="BB16" s="34">
        <f>IF(AND(BB$5&gt;$E16,BB$5&lt;=$F16),IF(BB$5=$E16+1,$C16,""),"")</f>
        <v/>
      </c>
      <c r="BC16" s="34">
        <f>IF(AND(BC$5&gt;$E16,BC$5&lt;=$F16),IF(BC$5=$E16+1,$C16,""),"")</f>
        <v/>
      </c>
      <c r="BD16" s="34">
        <f>IF(AND(BD$5&gt;$E16,BD$5&lt;=$F16),IF(BD$5=$E16+1,$C16,""),"")</f>
        <v/>
      </c>
      <c r="BE16" s="34">
        <f>IF(AND(BE$5&gt;$E16,BE$5&lt;=$F16),IF(BE$5=$E16+1,$C16,""),"")</f>
        <v/>
      </c>
      <c r="BF16" s="34">
        <f>IF(AND(BF$5&gt;$E16,BF$5&lt;=$F16),IF(BF$5=$E16+1,$C16,""),"")</f>
        <v/>
      </c>
      <c r="BG16" s="34">
        <f>IF(AND(BG$5&gt;$E16,BG$5&lt;=$F16),IF(BG$5=$E16+1,$C16,""),"")</f>
        <v/>
      </c>
      <c r="BH16" s="34">
        <f>IF(AND(BH$5&gt;$E16,BH$5&lt;=$F16),IF(BH$5=$E16+1,$C16,""),"")</f>
        <v/>
      </c>
      <c r="BI16" s="34">
        <f>IF(AND(BI$5&gt;$E16,BI$5&lt;=$F16),IF(BI$5=$E16+1,$C16,""),"")</f>
        <v/>
      </c>
      <c r="BJ16" s="34">
        <f>IF(AND(BJ$5&gt;$E16,BJ$5&lt;=$F16),IF(BJ$5=$E16+1,$C16,""),"")</f>
        <v/>
      </c>
      <c r="BK16" s="34">
        <f>IF(AND(BK$5&gt;$E16,BK$5&lt;=$F16),IF(BK$5=$E16+1,$C16,""),"")</f>
        <v/>
      </c>
      <c r="BL16" s="34">
        <f>IF(AND(BL$5&gt;$E16,BL$5&lt;=$F16),IF(BL$5=$E16+1,$C16,""),"")</f>
        <v/>
      </c>
      <c r="BM16" s="34">
        <f>IF(AND(BM$5&gt;$E16,BM$5&lt;=$F16),IF(BM$5=$E16+1,$C16,""),"")</f>
        <v/>
      </c>
      <c r="BN16" s="34">
        <f>IF(AND(BN$5&gt;$E16,BN$5&lt;=$F16),IF(BN$5=$E16+1,$C16,""),"")</f>
        <v/>
      </c>
      <c r="BO16" s="34">
        <f>IF(AND(BO$5&gt;$E16,BO$5&lt;=$F16),IF(BO$5=$E16+1,$C16,""),"")</f>
        <v/>
      </c>
      <c r="BP16" s="34">
        <f>IF(AND(BP$5&gt;$E16,BP$5&lt;=$F16),IF(BP$5=$E16+1,$C16,""),"")</f>
        <v/>
      </c>
      <c r="BQ16" s="34">
        <f>IF(AND(BQ$5&gt;$E16,BQ$5&lt;=$F16),IF(BQ$5=$E16+1,$C16,""),"")</f>
        <v/>
      </c>
      <c r="BR16" s="34">
        <f>IF(AND(BR$5&gt;$E16,BR$5&lt;=$F16),IF(BR$5=$E16+1,$C16,""),"")</f>
        <v/>
      </c>
      <c r="BS16" s="34">
        <f>IF(AND(BS$5&gt;$E16,BS$5&lt;=$F16),IF(BS$5=$E16+1,$C16,""),"")</f>
        <v/>
      </c>
      <c r="BT16" s="34">
        <f>IF(AND(BT$5&gt;$E16,BT$5&lt;=$F16),IF(BT$5=$E16+1,$C16,""),"")</f>
        <v/>
      </c>
      <c r="BU16" s="34">
        <f>IF(AND(BU$5&gt;$E16,BU$5&lt;=$F16),IF(BU$5=$E16+1,$C16,""),"")</f>
        <v/>
      </c>
      <c r="BV16" s="34">
        <f>IF(AND(BV$5&gt;$E16,BV$5&lt;=$F16),IF(BV$5=$E16+1,$C16,""),"")</f>
        <v/>
      </c>
      <c r="BW16" s="34">
        <f>IF(AND(BW$5&gt;$E16,BW$5&lt;=$F16),IF(BW$5=$E16+1,$C16,""),"")</f>
        <v/>
      </c>
      <c r="BX16" s="34">
        <f>IF(AND(BX$5&gt;$E16,BX$5&lt;=$F16),IF(BX$5=$E16+1,$C16,""),"")</f>
        <v/>
      </c>
      <c r="BY16" s="34">
        <f>IF(AND(BY$5&gt;$E16,BY$5&lt;=$F16),IF(BY$5=$E16+1,$C16,""),"")</f>
        <v/>
      </c>
      <c r="BZ16" s="34">
        <f>IF(AND(BZ$5&gt;$E16,BZ$5&lt;=$F16),IF(BZ$5=$E16+1,$C16,""),"")</f>
        <v/>
      </c>
      <c r="CA16" s="34">
        <f>IF(AND(CA$5&gt;$E16,CA$5&lt;=$F16),IF(CA$5=$E16+1,$C16,""),"")</f>
        <v/>
      </c>
      <c r="CB16" s="34">
        <f>IF(AND(CB$5&gt;$E16,CB$5&lt;=$F16),IF(CB$5=$E16+1,$C16,""),"")</f>
        <v/>
      </c>
      <c r="CC16" s="34">
        <f>IF(AND(CC$5&gt;$E16,CC$5&lt;=$F16),IF(CC$5=$E16+1,$C16,""),"")</f>
        <v/>
      </c>
      <c r="CD16" s="34">
        <f>IF(AND(CD$5&gt;$E16,CD$5&lt;=$F16),IF(CD$5=$E16+1,$C16,""),"")</f>
        <v/>
      </c>
      <c r="CE16" s="34">
        <f>IF(AND(CE$5&gt;$E16,CE$5&lt;=$F16),IF(CE$5=$E16+1,$C16,""),"")</f>
        <v/>
      </c>
      <c r="CF16" s="34">
        <f>IF(AND(CF$5&gt;$E16,CF$5&lt;=$F16),IF(CF$5=$E16+1,$C16,""),"")</f>
        <v/>
      </c>
      <c r="CG16" s="34">
        <f>IF(AND(CG$5&gt;$E16,CG$5&lt;=$F16),IF(CG$5=$E16+1,$C16,""),"")</f>
        <v/>
      </c>
      <c r="CH16" s="34">
        <f>IF(AND(CH$5&gt;$E16,CH$5&lt;=$F16),IF(CH$5=$E16+1,$C16,""),"")</f>
        <v/>
      </c>
      <c r="CI16" s="34">
        <f>IF(AND(CI$5&gt;$E16,CI$5&lt;=$F16),IF(CI$5=$E16+1,$C16,""),"")</f>
        <v/>
      </c>
      <c r="CJ16" s="34">
        <f>IF(AND(CJ$5&gt;$E16,CJ$5&lt;=$F16),IF(CJ$5=$E16+1,$C16,""),"")</f>
        <v/>
      </c>
      <c r="CK16" s="34">
        <f>IF(AND(CK$5&gt;$E16,CK$5&lt;=$F16),IF(CK$5=$E16+1,$C16,""),"")</f>
        <v/>
      </c>
      <c r="CL16" s="34">
        <f>IF(AND(CL$5&gt;$E16,CL$5&lt;=$F16),IF(CL$5=$E16+1,$C16,""),"")</f>
        <v/>
      </c>
      <c r="CM16" s="34">
        <f>IF(AND(CM$5&gt;$E16,CM$5&lt;=$F16),IF(CM$5=$E16+1,$C16,""),"")</f>
        <v/>
      </c>
      <c r="CN16" s="34">
        <f>IF(AND(CN$5&gt;$E16,CN$5&lt;=$F16),IF(CN$5=$E16+1,$C16,""),"")</f>
        <v/>
      </c>
      <c r="CO16" s="34">
        <f>IF(AND(CO$5&gt;$E16,CO$5&lt;=$F16),IF(CO$5=$E16+1,$C16,""),"")</f>
        <v/>
      </c>
      <c r="CP16" s="34">
        <f>IF(AND(CP$5&gt;$E16,CP$5&lt;=$F16),IF(CP$5=$E16+1,$C16,""),"")</f>
        <v/>
      </c>
      <c r="CQ16" s="34">
        <f>IF(AND(CQ$5&gt;$E16,CQ$5&lt;=$F16),IF(CQ$5=$E16+1,$C16,""),"")</f>
        <v/>
      </c>
      <c r="CR16" s="34">
        <f>IF(AND(CR$5&gt;$E16,CR$5&lt;=$F16),IF(CR$5=$E16+1,$C16,""),"")</f>
        <v/>
      </c>
      <c r="CS16" s="34">
        <f>IF(AND(CS$5&gt;$E16,CS$5&lt;=$F16),IF(CS$5=$E16+1,$C16,""),"")</f>
        <v/>
      </c>
    </row>
    <row r="17">
      <c r="A17" s="32">
        <f>Plan!A12</f>
        <v/>
      </c>
      <c r="B17" s="33">
        <f>Plan!C12</f>
        <v/>
      </c>
      <c r="C17" s="16">
        <f>Plan!D12</f>
        <v/>
      </c>
      <c r="D17" s="16">
        <f>Plan!I12</f>
        <v/>
      </c>
      <c r="E17" s="16">
        <f>Plan!K12</f>
        <v/>
      </c>
      <c r="F17" s="16">
        <f>Plan!L12</f>
        <v/>
      </c>
      <c r="G17" s="16">
        <f>Plan!O12</f>
        <v/>
      </c>
      <c r="H17" s="34">
        <f>IF(AND(H$5&gt;$E17,H$5&lt;=$F17),IF(H$5=$E17+1,$C17,""),"")</f>
        <v/>
      </c>
      <c r="I17" s="34">
        <f>IF(AND(I$5&gt;$E17,I$5&lt;=$F17),IF(I$5=$E17+1,$C17,""),"")</f>
        <v/>
      </c>
      <c r="J17" s="34">
        <f>IF(AND(J$5&gt;$E17,J$5&lt;=$F17),IF(J$5=$E17+1,$C17,""),"")</f>
        <v/>
      </c>
      <c r="K17" s="34">
        <f>IF(AND(K$5&gt;$E17,K$5&lt;=$F17),IF(K$5=$E17+1,$C17,""),"")</f>
        <v/>
      </c>
      <c r="L17" s="34">
        <f>IF(AND(L$5&gt;$E17,L$5&lt;=$F17),IF(L$5=$E17+1,$C17,""),"")</f>
        <v/>
      </c>
      <c r="M17" s="34">
        <f>IF(AND(M$5&gt;$E17,M$5&lt;=$F17),IF(M$5=$E17+1,$C17,""),"")</f>
        <v/>
      </c>
      <c r="N17" s="34">
        <f>IF(AND(N$5&gt;$E17,N$5&lt;=$F17),IF(N$5=$E17+1,$C17,""),"")</f>
        <v/>
      </c>
      <c r="O17" s="34">
        <f>IF(AND(O$5&gt;$E17,O$5&lt;=$F17),IF(O$5=$E17+1,$C17,""),"")</f>
        <v/>
      </c>
      <c r="P17" s="34">
        <f>IF(AND(P$5&gt;$E17,P$5&lt;=$F17),IF(P$5=$E17+1,$C17,""),"")</f>
        <v/>
      </c>
      <c r="Q17" s="34">
        <f>IF(AND(Q$5&gt;$E17,Q$5&lt;=$F17),IF(Q$5=$E17+1,$C17,""),"")</f>
        <v/>
      </c>
      <c r="R17" s="34">
        <f>IF(AND(R$5&gt;$E17,R$5&lt;=$F17),IF(R$5=$E17+1,$C17,""),"")</f>
        <v/>
      </c>
      <c r="S17" s="34">
        <f>IF(AND(S$5&gt;$E17,S$5&lt;=$F17),IF(S$5=$E17+1,$C17,""),"")</f>
        <v/>
      </c>
      <c r="T17" s="34">
        <f>IF(AND(T$5&gt;$E17,T$5&lt;=$F17),IF(T$5=$E17+1,$C17,""),"")</f>
        <v/>
      </c>
      <c r="U17" s="34">
        <f>IF(AND(U$5&gt;$E17,U$5&lt;=$F17),IF(U$5=$E17+1,$C17,""),"")</f>
        <v/>
      </c>
      <c r="V17" s="34">
        <f>IF(AND(V$5&gt;$E17,V$5&lt;=$F17),IF(V$5=$E17+1,$C17,""),"")</f>
        <v/>
      </c>
      <c r="W17" s="34">
        <f>IF(AND(W$5&gt;$E17,W$5&lt;=$F17),IF(W$5=$E17+1,$C17,""),"")</f>
        <v/>
      </c>
      <c r="X17" s="34">
        <f>IF(AND(X$5&gt;$E17,X$5&lt;=$F17),IF(X$5=$E17+1,$C17,""),"")</f>
        <v/>
      </c>
      <c r="Y17" s="34">
        <f>IF(AND(Y$5&gt;$E17,Y$5&lt;=$F17),IF(Y$5=$E17+1,$C17,""),"")</f>
        <v/>
      </c>
      <c r="Z17" s="34">
        <f>IF(AND(Z$5&gt;$E17,Z$5&lt;=$F17),IF(Z$5=$E17+1,$C17,""),"")</f>
        <v/>
      </c>
      <c r="AA17" s="34">
        <f>IF(AND(AA$5&gt;$E17,AA$5&lt;=$F17),IF(AA$5=$E17+1,$C17,""),"")</f>
        <v/>
      </c>
      <c r="AB17" s="34">
        <f>IF(AND(AB$5&gt;$E17,AB$5&lt;=$F17),IF(AB$5=$E17+1,$C17,""),"")</f>
        <v/>
      </c>
      <c r="AC17" s="34">
        <f>IF(AND(AC$5&gt;$E17,AC$5&lt;=$F17),IF(AC$5=$E17+1,$C17,""),"")</f>
        <v/>
      </c>
      <c r="AD17" s="34">
        <f>IF(AND(AD$5&gt;$E17,AD$5&lt;=$F17),IF(AD$5=$E17+1,$C17,""),"")</f>
        <v/>
      </c>
      <c r="AE17" s="34">
        <f>IF(AND(AE$5&gt;$E17,AE$5&lt;=$F17),IF(AE$5=$E17+1,$C17,""),"")</f>
        <v/>
      </c>
      <c r="AF17" s="34">
        <f>IF(AND(AF$5&gt;$E17,AF$5&lt;=$F17),IF(AF$5=$E17+1,$C17,""),"")</f>
        <v/>
      </c>
      <c r="AG17" s="34">
        <f>IF(AND(AG$5&gt;$E17,AG$5&lt;=$F17),IF(AG$5=$E17+1,$C17,""),"")</f>
        <v/>
      </c>
      <c r="AH17" s="34">
        <f>IF(AND(AH$5&gt;$E17,AH$5&lt;=$F17),IF(AH$5=$E17+1,$C17,""),"")</f>
        <v/>
      </c>
      <c r="AI17" s="34">
        <f>IF(AND(AI$5&gt;$E17,AI$5&lt;=$F17),IF(AI$5=$E17+1,$C17,""),"")</f>
        <v/>
      </c>
      <c r="AJ17" s="34">
        <f>IF(AND(AJ$5&gt;$E17,AJ$5&lt;=$F17),IF(AJ$5=$E17+1,$C17,""),"")</f>
        <v/>
      </c>
      <c r="AK17" s="34">
        <f>IF(AND(AK$5&gt;$E17,AK$5&lt;=$F17),IF(AK$5=$E17+1,$C17,""),"")</f>
        <v/>
      </c>
      <c r="AL17" s="34">
        <f>IF(AND(AL$5&gt;$E17,AL$5&lt;=$F17),IF(AL$5=$E17+1,$C17,""),"")</f>
        <v/>
      </c>
      <c r="AM17" s="34">
        <f>IF(AND(AM$5&gt;$E17,AM$5&lt;=$F17),IF(AM$5=$E17+1,$C17,""),"")</f>
        <v/>
      </c>
      <c r="AN17" s="34">
        <f>IF(AND(AN$5&gt;$E17,AN$5&lt;=$F17),IF(AN$5=$E17+1,$C17,""),"")</f>
        <v/>
      </c>
      <c r="AO17" s="34">
        <f>IF(AND(AO$5&gt;$E17,AO$5&lt;=$F17),IF(AO$5=$E17+1,$C17,""),"")</f>
        <v/>
      </c>
      <c r="AP17" s="34">
        <f>IF(AND(AP$5&gt;$E17,AP$5&lt;=$F17),IF(AP$5=$E17+1,$C17,""),"")</f>
        <v/>
      </c>
      <c r="AQ17" s="34">
        <f>IF(AND(AQ$5&gt;$E17,AQ$5&lt;=$F17),IF(AQ$5=$E17+1,$C17,""),"")</f>
        <v/>
      </c>
      <c r="AR17" s="34">
        <f>IF(AND(AR$5&gt;$E17,AR$5&lt;=$F17),IF(AR$5=$E17+1,$C17,""),"")</f>
        <v/>
      </c>
      <c r="AS17" s="34">
        <f>IF(AND(AS$5&gt;$E17,AS$5&lt;=$F17),IF(AS$5=$E17+1,$C17,""),"")</f>
        <v/>
      </c>
      <c r="AT17" s="34">
        <f>IF(AND(AT$5&gt;$E17,AT$5&lt;=$F17),IF(AT$5=$E17+1,$C17,""),"")</f>
        <v/>
      </c>
      <c r="AU17" s="34">
        <f>IF(AND(AU$5&gt;$E17,AU$5&lt;=$F17),IF(AU$5=$E17+1,$C17,""),"")</f>
        <v/>
      </c>
      <c r="AV17" s="34">
        <f>IF(AND(AV$5&gt;$E17,AV$5&lt;=$F17),IF(AV$5=$E17+1,$C17,""),"")</f>
        <v/>
      </c>
      <c r="AW17" s="34">
        <f>IF(AND(AW$5&gt;$E17,AW$5&lt;=$F17),IF(AW$5=$E17+1,$C17,""),"")</f>
        <v/>
      </c>
      <c r="AX17" s="34">
        <f>IF(AND(AX$5&gt;$E17,AX$5&lt;=$F17),IF(AX$5=$E17+1,$C17,""),"")</f>
        <v/>
      </c>
      <c r="AY17" s="34">
        <f>IF(AND(AY$5&gt;$E17,AY$5&lt;=$F17),IF(AY$5=$E17+1,$C17,""),"")</f>
        <v/>
      </c>
      <c r="AZ17" s="34">
        <f>IF(AND(AZ$5&gt;$E17,AZ$5&lt;=$F17),IF(AZ$5=$E17+1,$C17,""),"")</f>
        <v/>
      </c>
      <c r="BA17" s="34">
        <f>IF(AND(BA$5&gt;$E17,BA$5&lt;=$F17),IF(BA$5=$E17+1,$C17,""),"")</f>
        <v/>
      </c>
      <c r="BB17" s="34">
        <f>IF(AND(BB$5&gt;$E17,BB$5&lt;=$F17),IF(BB$5=$E17+1,$C17,""),"")</f>
        <v/>
      </c>
      <c r="BC17" s="34">
        <f>IF(AND(BC$5&gt;$E17,BC$5&lt;=$F17),IF(BC$5=$E17+1,$C17,""),"")</f>
        <v/>
      </c>
      <c r="BD17" s="34">
        <f>IF(AND(BD$5&gt;$E17,BD$5&lt;=$F17),IF(BD$5=$E17+1,$C17,""),"")</f>
        <v/>
      </c>
      <c r="BE17" s="34">
        <f>IF(AND(BE$5&gt;$E17,BE$5&lt;=$F17),IF(BE$5=$E17+1,$C17,""),"")</f>
        <v/>
      </c>
      <c r="BF17" s="34">
        <f>IF(AND(BF$5&gt;$E17,BF$5&lt;=$F17),IF(BF$5=$E17+1,$C17,""),"")</f>
        <v/>
      </c>
      <c r="BG17" s="34">
        <f>IF(AND(BG$5&gt;$E17,BG$5&lt;=$F17),IF(BG$5=$E17+1,$C17,""),"")</f>
        <v/>
      </c>
      <c r="BH17" s="34">
        <f>IF(AND(BH$5&gt;$E17,BH$5&lt;=$F17),IF(BH$5=$E17+1,$C17,""),"")</f>
        <v/>
      </c>
      <c r="BI17" s="34">
        <f>IF(AND(BI$5&gt;$E17,BI$5&lt;=$F17),IF(BI$5=$E17+1,$C17,""),"")</f>
        <v/>
      </c>
      <c r="BJ17" s="34">
        <f>IF(AND(BJ$5&gt;$E17,BJ$5&lt;=$F17),IF(BJ$5=$E17+1,$C17,""),"")</f>
        <v/>
      </c>
      <c r="BK17" s="34">
        <f>IF(AND(BK$5&gt;$E17,BK$5&lt;=$F17),IF(BK$5=$E17+1,$C17,""),"")</f>
        <v/>
      </c>
      <c r="BL17" s="34">
        <f>IF(AND(BL$5&gt;$E17,BL$5&lt;=$F17),IF(BL$5=$E17+1,$C17,""),"")</f>
        <v/>
      </c>
      <c r="BM17" s="34">
        <f>IF(AND(BM$5&gt;$E17,BM$5&lt;=$F17),IF(BM$5=$E17+1,$C17,""),"")</f>
        <v/>
      </c>
      <c r="BN17" s="34">
        <f>IF(AND(BN$5&gt;$E17,BN$5&lt;=$F17),IF(BN$5=$E17+1,$C17,""),"")</f>
        <v/>
      </c>
      <c r="BO17" s="34">
        <f>IF(AND(BO$5&gt;$E17,BO$5&lt;=$F17),IF(BO$5=$E17+1,$C17,""),"")</f>
        <v/>
      </c>
      <c r="BP17" s="34">
        <f>IF(AND(BP$5&gt;$E17,BP$5&lt;=$F17),IF(BP$5=$E17+1,$C17,""),"")</f>
        <v/>
      </c>
      <c r="BQ17" s="34">
        <f>IF(AND(BQ$5&gt;$E17,BQ$5&lt;=$F17),IF(BQ$5=$E17+1,$C17,""),"")</f>
        <v/>
      </c>
      <c r="BR17" s="34">
        <f>IF(AND(BR$5&gt;$E17,BR$5&lt;=$F17),IF(BR$5=$E17+1,$C17,""),"")</f>
        <v/>
      </c>
      <c r="BS17" s="34">
        <f>IF(AND(BS$5&gt;$E17,BS$5&lt;=$F17),IF(BS$5=$E17+1,$C17,""),"")</f>
        <v/>
      </c>
      <c r="BT17" s="34">
        <f>IF(AND(BT$5&gt;$E17,BT$5&lt;=$F17),IF(BT$5=$E17+1,$C17,""),"")</f>
        <v/>
      </c>
      <c r="BU17" s="34">
        <f>IF(AND(BU$5&gt;$E17,BU$5&lt;=$F17),IF(BU$5=$E17+1,$C17,""),"")</f>
        <v/>
      </c>
      <c r="BV17" s="34">
        <f>IF(AND(BV$5&gt;$E17,BV$5&lt;=$F17),IF(BV$5=$E17+1,$C17,""),"")</f>
        <v/>
      </c>
      <c r="BW17" s="34">
        <f>IF(AND(BW$5&gt;$E17,BW$5&lt;=$F17),IF(BW$5=$E17+1,$C17,""),"")</f>
        <v/>
      </c>
      <c r="BX17" s="34">
        <f>IF(AND(BX$5&gt;$E17,BX$5&lt;=$F17),IF(BX$5=$E17+1,$C17,""),"")</f>
        <v/>
      </c>
      <c r="BY17" s="34">
        <f>IF(AND(BY$5&gt;$E17,BY$5&lt;=$F17),IF(BY$5=$E17+1,$C17,""),"")</f>
        <v/>
      </c>
      <c r="BZ17" s="34">
        <f>IF(AND(BZ$5&gt;$E17,BZ$5&lt;=$F17),IF(BZ$5=$E17+1,$C17,""),"")</f>
        <v/>
      </c>
      <c r="CA17" s="34">
        <f>IF(AND(CA$5&gt;$E17,CA$5&lt;=$F17),IF(CA$5=$E17+1,$C17,""),"")</f>
        <v/>
      </c>
      <c r="CB17" s="34">
        <f>IF(AND(CB$5&gt;$E17,CB$5&lt;=$F17),IF(CB$5=$E17+1,$C17,""),"")</f>
        <v/>
      </c>
      <c r="CC17" s="34">
        <f>IF(AND(CC$5&gt;$E17,CC$5&lt;=$F17),IF(CC$5=$E17+1,$C17,""),"")</f>
        <v/>
      </c>
      <c r="CD17" s="34">
        <f>IF(AND(CD$5&gt;$E17,CD$5&lt;=$F17),IF(CD$5=$E17+1,$C17,""),"")</f>
        <v/>
      </c>
      <c r="CE17" s="34">
        <f>IF(AND(CE$5&gt;$E17,CE$5&lt;=$F17),IF(CE$5=$E17+1,$C17,""),"")</f>
        <v/>
      </c>
      <c r="CF17" s="34">
        <f>IF(AND(CF$5&gt;$E17,CF$5&lt;=$F17),IF(CF$5=$E17+1,$C17,""),"")</f>
        <v/>
      </c>
      <c r="CG17" s="34">
        <f>IF(AND(CG$5&gt;$E17,CG$5&lt;=$F17),IF(CG$5=$E17+1,$C17,""),"")</f>
        <v/>
      </c>
      <c r="CH17" s="34">
        <f>IF(AND(CH$5&gt;$E17,CH$5&lt;=$F17),IF(CH$5=$E17+1,$C17,""),"")</f>
        <v/>
      </c>
      <c r="CI17" s="34">
        <f>IF(AND(CI$5&gt;$E17,CI$5&lt;=$F17),IF(CI$5=$E17+1,$C17,""),"")</f>
        <v/>
      </c>
      <c r="CJ17" s="34">
        <f>IF(AND(CJ$5&gt;$E17,CJ$5&lt;=$F17),IF(CJ$5=$E17+1,$C17,""),"")</f>
        <v/>
      </c>
      <c r="CK17" s="34">
        <f>IF(AND(CK$5&gt;$E17,CK$5&lt;=$F17),IF(CK$5=$E17+1,$C17,""),"")</f>
        <v/>
      </c>
      <c r="CL17" s="34">
        <f>IF(AND(CL$5&gt;$E17,CL$5&lt;=$F17),IF(CL$5=$E17+1,$C17,""),"")</f>
        <v/>
      </c>
      <c r="CM17" s="34">
        <f>IF(AND(CM$5&gt;$E17,CM$5&lt;=$F17),IF(CM$5=$E17+1,$C17,""),"")</f>
        <v/>
      </c>
      <c r="CN17" s="34">
        <f>IF(AND(CN$5&gt;$E17,CN$5&lt;=$F17),IF(CN$5=$E17+1,$C17,""),"")</f>
        <v/>
      </c>
      <c r="CO17" s="34">
        <f>IF(AND(CO$5&gt;$E17,CO$5&lt;=$F17),IF(CO$5=$E17+1,$C17,""),"")</f>
        <v/>
      </c>
      <c r="CP17" s="34">
        <f>IF(AND(CP$5&gt;$E17,CP$5&lt;=$F17),IF(CP$5=$E17+1,$C17,""),"")</f>
        <v/>
      </c>
      <c r="CQ17" s="34">
        <f>IF(AND(CQ$5&gt;$E17,CQ$5&lt;=$F17),IF(CQ$5=$E17+1,$C17,""),"")</f>
        <v/>
      </c>
      <c r="CR17" s="34">
        <f>IF(AND(CR$5&gt;$E17,CR$5&lt;=$F17),IF(CR$5=$E17+1,$C17,""),"")</f>
        <v/>
      </c>
      <c r="CS17" s="34">
        <f>IF(AND(CS$5&gt;$E17,CS$5&lt;=$F17),IF(CS$5=$E17+1,$C17,""),"")</f>
        <v/>
      </c>
    </row>
    <row r="18">
      <c r="A18" s="27" t="inlineStr">
        <is>
          <t>Fase 2. Landing y autenticación</t>
        </is>
      </c>
      <c r="B18" s="28" t="n"/>
      <c r="C18" s="28" t="n"/>
      <c r="D18" s="28" t="n"/>
      <c r="E18" s="29">
        <f>SUMPRODUCT(MIN((Plan!$B$5:$B$76="2. Landing y autenticación")*Plan!$K$5:$K$76+(Plan!$B$5:$B$76&lt;&gt;"2. Landing y autenticación")*1E9))</f>
        <v/>
      </c>
      <c r="F18" s="29">
        <f>SUMPRODUCT(MAX((Plan!$B$5:$B$76="2. Landing y autenticación")*Plan!$L$5:$L$76))</f>
        <v/>
      </c>
      <c r="G18" s="30">
        <f>Resumen!E30</f>
        <v/>
      </c>
      <c r="H18" s="31" t="n"/>
      <c r="I18" s="31" t="n"/>
      <c r="J18" s="31" t="n"/>
      <c r="K18" s="31" t="n"/>
      <c r="L18" s="31" t="n"/>
      <c r="M18" s="31" t="n"/>
      <c r="N18" s="31" t="n"/>
      <c r="O18" s="31" t="n"/>
      <c r="P18" s="31" t="n"/>
      <c r="Q18" s="31" t="n"/>
      <c r="R18" s="31" t="n"/>
      <c r="S18" s="31" t="n"/>
      <c r="T18" s="31" t="n"/>
      <c r="U18" s="31" t="n"/>
      <c r="V18" s="31" t="n"/>
      <c r="W18" s="31" t="n"/>
      <c r="X18" s="31" t="n"/>
      <c r="Y18" s="31" t="n"/>
      <c r="Z18" s="31" t="n"/>
      <c r="AA18" s="31" t="n"/>
      <c r="AB18" s="31" t="n"/>
      <c r="AC18" s="31" t="n"/>
      <c r="AD18" s="31" t="n"/>
      <c r="AE18" s="31" t="n"/>
      <c r="AF18" s="31" t="n"/>
      <c r="AG18" s="31" t="n"/>
      <c r="AH18" s="31" t="n"/>
      <c r="AI18" s="31" t="n"/>
      <c r="AJ18" s="31" t="n"/>
      <c r="AK18" s="31" t="n"/>
      <c r="AL18" s="31" t="n"/>
      <c r="AM18" s="31" t="n"/>
      <c r="AN18" s="31" t="n"/>
      <c r="AO18" s="31" t="n"/>
      <c r="AP18" s="31" t="n"/>
      <c r="AQ18" s="31" t="n"/>
      <c r="AR18" s="31" t="n"/>
      <c r="AS18" s="31" t="n"/>
      <c r="AT18" s="31" t="n"/>
      <c r="AU18" s="31" t="n"/>
      <c r="AV18" s="31" t="n"/>
      <c r="AW18" s="31" t="n"/>
      <c r="AX18" s="31" t="n"/>
      <c r="AY18" s="31" t="n"/>
      <c r="AZ18" s="31" t="n"/>
      <c r="BA18" s="31" t="n"/>
      <c r="BB18" s="31" t="n"/>
      <c r="BC18" s="31" t="n"/>
      <c r="BD18" s="31" t="n"/>
      <c r="BE18" s="31" t="n"/>
      <c r="BF18" s="31" t="n"/>
      <c r="BG18" s="31" t="n"/>
      <c r="BH18" s="31" t="n"/>
      <c r="BI18" s="31" t="n"/>
      <c r="BJ18" s="31" t="n"/>
      <c r="BK18" s="31" t="n"/>
      <c r="BL18" s="31" t="n"/>
      <c r="BM18" s="31" t="n"/>
      <c r="BN18" s="31" t="n"/>
      <c r="BO18" s="31" t="n"/>
      <c r="BP18" s="31" t="n"/>
      <c r="BQ18" s="31" t="n"/>
      <c r="BR18" s="31" t="n"/>
      <c r="BS18" s="31" t="n"/>
      <c r="BT18" s="31" t="n"/>
      <c r="BU18" s="31" t="n"/>
      <c r="BV18" s="31" t="n"/>
      <c r="BW18" s="31" t="n"/>
      <c r="BX18" s="31" t="n"/>
      <c r="BY18" s="31" t="n"/>
      <c r="BZ18" s="31" t="n"/>
      <c r="CA18" s="31" t="n"/>
      <c r="CB18" s="31" t="n"/>
      <c r="CC18" s="31" t="n"/>
      <c r="CD18" s="31" t="n"/>
      <c r="CE18" s="31" t="n"/>
      <c r="CF18" s="31" t="n"/>
      <c r="CG18" s="31" t="n"/>
      <c r="CH18" s="31" t="n"/>
      <c r="CI18" s="31" t="n"/>
      <c r="CJ18" s="31" t="n"/>
      <c r="CK18" s="31" t="n"/>
      <c r="CL18" s="31" t="n"/>
      <c r="CM18" s="31" t="n"/>
      <c r="CN18" s="31" t="n"/>
      <c r="CO18" s="31" t="n"/>
      <c r="CP18" s="31" t="n"/>
      <c r="CQ18" s="31" t="n"/>
      <c r="CR18" s="31" t="n"/>
      <c r="CS18" s="31" t="n"/>
    </row>
    <row r="19">
      <c r="A19" s="32">
        <f>Plan!A13</f>
        <v/>
      </c>
      <c r="B19" s="33">
        <f>Plan!C13</f>
        <v/>
      </c>
      <c r="C19" s="16">
        <f>Plan!D13</f>
        <v/>
      </c>
      <c r="D19" s="16">
        <f>Plan!I13</f>
        <v/>
      </c>
      <c r="E19" s="16">
        <f>Plan!K13</f>
        <v/>
      </c>
      <c r="F19" s="16">
        <f>Plan!L13</f>
        <v/>
      </c>
      <c r="G19" s="16">
        <f>Plan!O13</f>
        <v/>
      </c>
      <c r="H19" s="34">
        <f>IF(AND(H$5&gt;$E19,H$5&lt;=$F19),IF(H$5=$E19+1,$C19,""),"")</f>
        <v/>
      </c>
      <c r="I19" s="34">
        <f>IF(AND(I$5&gt;$E19,I$5&lt;=$F19),IF(I$5=$E19+1,$C19,""),"")</f>
        <v/>
      </c>
      <c r="J19" s="34">
        <f>IF(AND(J$5&gt;$E19,J$5&lt;=$F19),IF(J$5=$E19+1,$C19,""),"")</f>
        <v/>
      </c>
      <c r="K19" s="34">
        <f>IF(AND(K$5&gt;$E19,K$5&lt;=$F19),IF(K$5=$E19+1,$C19,""),"")</f>
        <v/>
      </c>
      <c r="L19" s="34">
        <f>IF(AND(L$5&gt;$E19,L$5&lt;=$F19),IF(L$5=$E19+1,$C19,""),"")</f>
        <v/>
      </c>
      <c r="M19" s="34">
        <f>IF(AND(M$5&gt;$E19,M$5&lt;=$F19),IF(M$5=$E19+1,$C19,""),"")</f>
        <v/>
      </c>
      <c r="N19" s="34">
        <f>IF(AND(N$5&gt;$E19,N$5&lt;=$F19),IF(N$5=$E19+1,$C19,""),"")</f>
        <v/>
      </c>
      <c r="O19" s="34">
        <f>IF(AND(O$5&gt;$E19,O$5&lt;=$F19),IF(O$5=$E19+1,$C19,""),"")</f>
        <v/>
      </c>
      <c r="P19" s="34">
        <f>IF(AND(P$5&gt;$E19,P$5&lt;=$F19),IF(P$5=$E19+1,$C19,""),"")</f>
        <v/>
      </c>
      <c r="Q19" s="34">
        <f>IF(AND(Q$5&gt;$E19,Q$5&lt;=$F19),IF(Q$5=$E19+1,$C19,""),"")</f>
        <v/>
      </c>
      <c r="R19" s="34">
        <f>IF(AND(R$5&gt;$E19,R$5&lt;=$F19),IF(R$5=$E19+1,$C19,""),"")</f>
        <v/>
      </c>
      <c r="S19" s="34">
        <f>IF(AND(S$5&gt;$E19,S$5&lt;=$F19),IF(S$5=$E19+1,$C19,""),"")</f>
        <v/>
      </c>
      <c r="T19" s="34">
        <f>IF(AND(T$5&gt;$E19,T$5&lt;=$F19),IF(T$5=$E19+1,$C19,""),"")</f>
        <v/>
      </c>
      <c r="U19" s="34">
        <f>IF(AND(U$5&gt;$E19,U$5&lt;=$F19),IF(U$5=$E19+1,$C19,""),"")</f>
        <v/>
      </c>
      <c r="V19" s="34">
        <f>IF(AND(V$5&gt;$E19,V$5&lt;=$F19),IF(V$5=$E19+1,$C19,""),"")</f>
        <v/>
      </c>
      <c r="W19" s="34">
        <f>IF(AND(W$5&gt;$E19,W$5&lt;=$F19),IF(W$5=$E19+1,$C19,""),"")</f>
        <v/>
      </c>
      <c r="X19" s="34">
        <f>IF(AND(X$5&gt;$E19,X$5&lt;=$F19),IF(X$5=$E19+1,$C19,""),"")</f>
        <v/>
      </c>
      <c r="Y19" s="34">
        <f>IF(AND(Y$5&gt;$E19,Y$5&lt;=$F19),IF(Y$5=$E19+1,$C19,""),"")</f>
        <v/>
      </c>
      <c r="Z19" s="34">
        <f>IF(AND(Z$5&gt;$E19,Z$5&lt;=$F19),IF(Z$5=$E19+1,$C19,""),"")</f>
        <v/>
      </c>
      <c r="AA19" s="34">
        <f>IF(AND(AA$5&gt;$E19,AA$5&lt;=$F19),IF(AA$5=$E19+1,$C19,""),"")</f>
        <v/>
      </c>
      <c r="AB19" s="34">
        <f>IF(AND(AB$5&gt;$E19,AB$5&lt;=$F19),IF(AB$5=$E19+1,$C19,""),"")</f>
        <v/>
      </c>
      <c r="AC19" s="34">
        <f>IF(AND(AC$5&gt;$E19,AC$5&lt;=$F19),IF(AC$5=$E19+1,$C19,""),"")</f>
        <v/>
      </c>
      <c r="AD19" s="34">
        <f>IF(AND(AD$5&gt;$E19,AD$5&lt;=$F19),IF(AD$5=$E19+1,$C19,""),"")</f>
        <v/>
      </c>
      <c r="AE19" s="34">
        <f>IF(AND(AE$5&gt;$E19,AE$5&lt;=$F19),IF(AE$5=$E19+1,$C19,""),"")</f>
        <v/>
      </c>
      <c r="AF19" s="34">
        <f>IF(AND(AF$5&gt;$E19,AF$5&lt;=$F19),IF(AF$5=$E19+1,$C19,""),"")</f>
        <v/>
      </c>
      <c r="AG19" s="34">
        <f>IF(AND(AG$5&gt;$E19,AG$5&lt;=$F19),IF(AG$5=$E19+1,$C19,""),"")</f>
        <v/>
      </c>
      <c r="AH19" s="34">
        <f>IF(AND(AH$5&gt;$E19,AH$5&lt;=$F19),IF(AH$5=$E19+1,$C19,""),"")</f>
        <v/>
      </c>
      <c r="AI19" s="34">
        <f>IF(AND(AI$5&gt;$E19,AI$5&lt;=$F19),IF(AI$5=$E19+1,$C19,""),"")</f>
        <v/>
      </c>
      <c r="AJ19" s="34">
        <f>IF(AND(AJ$5&gt;$E19,AJ$5&lt;=$F19),IF(AJ$5=$E19+1,$C19,""),"")</f>
        <v/>
      </c>
      <c r="AK19" s="34">
        <f>IF(AND(AK$5&gt;$E19,AK$5&lt;=$F19),IF(AK$5=$E19+1,$C19,""),"")</f>
        <v/>
      </c>
      <c r="AL19" s="34">
        <f>IF(AND(AL$5&gt;$E19,AL$5&lt;=$F19),IF(AL$5=$E19+1,$C19,""),"")</f>
        <v/>
      </c>
      <c r="AM19" s="34">
        <f>IF(AND(AM$5&gt;$E19,AM$5&lt;=$F19),IF(AM$5=$E19+1,$C19,""),"")</f>
        <v/>
      </c>
      <c r="AN19" s="34">
        <f>IF(AND(AN$5&gt;$E19,AN$5&lt;=$F19),IF(AN$5=$E19+1,$C19,""),"")</f>
        <v/>
      </c>
      <c r="AO19" s="34">
        <f>IF(AND(AO$5&gt;$E19,AO$5&lt;=$F19),IF(AO$5=$E19+1,$C19,""),"")</f>
        <v/>
      </c>
      <c r="AP19" s="34">
        <f>IF(AND(AP$5&gt;$E19,AP$5&lt;=$F19),IF(AP$5=$E19+1,$C19,""),"")</f>
        <v/>
      </c>
      <c r="AQ19" s="34">
        <f>IF(AND(AQ$5&gt;$E19,AQ$5&lt;=$F19),IF(AQ$5=$E19+1,$C19,""),"")</f>
        <v/>
      </c>
      <c r="AR19" s="34">
        <f>IF(AND(AR$5&gt;$E19,AR$5&lt;=$F19),IF(AR$5=$E19+1,$C19,""),"")</f>
        <v/>
      </c>
      <c r="AS19" s="34">
        <f>IF(AND(AS$5&gt;$E19,AS$5&lt;=$F19),IF(AS$5=$E19+1,$C19,""),"")</f>
        <v/>
      </c>
      <c r="AT19" s="34">
        <f>IF(AND(AT$5&gt;$E19,AT$5&lt;=$F19),IF(AT$5=$E19+1,$C19,""),"")</f>
        <v/>
      </c>
      <c r="AU19" s="34">
        <f>IF(AND(AU$5&gt;$E19,AU$5&lt;=$F19),IF(AU$5=$E19+1,$C19,""),"")</f>
        <v/>
      </c>
      <c r="AV19" s="34">
        <f>IF(AND(AV$5&gt;$E19,AV$5&lt;=$F19),IF(AV$5=$E19+1,$C19,""),"")</f>
        <v/>
      </c>
      <c r="AW19" s="34">
        <f>IF(AND(AW$5&gt;$E19,AW$5&lt;=$F19),IF(AW$5=$E19+1,$C19,""),"")</f>
        <v/>
      </c>
      <c r="AX19" s="34">
        <f>IF(AND(AX$5&gt;$E19,AX$5&lt;=$F19),IF(AX$5=$E19+1,$C19,""),"")</f>
        <v/>
      </c>
      <c r="AY19" s="34">
        <f>IF(AND(AY$5&gt;$E19,AY$5&lt;=$F19),IF(AY$5=$E19+1,$C19,""),"")</f>
        <v/>
      </c>
      <c r="AZ19" s="34">
        <f>IF(AND(AZ$5&gt;$E19,AZ$5&lt;=$F19),IF(AZ$5=$E19+1,$C19,""),"")</f>
        <v/>
      </c>
      <c r="BA19" s="34">
        <f>IF(AND(BA$5&gt;$E19,BA$5&lt;=$F19),IF(BA$5=$E19+1,$C19,""),"")</f>
        <v/>
      </c>
      <c r="BB19" s="34">
        <f>IF(AND(BB$5&gt;$E19,BB$5&lt;=$F19),IF(BB$5=$E19+1,$C19,""),"")</f>
        <v/>
      </c>
      <c r="BC19" s="34">
        <f>IF(AND(BC$5&gt;$E19,BC$5&lt;=$F19),IF(BC$5=$E19+1,$C19,""),"")</f>
        <v/>
      </c>
      <c r="BD19" s="34">
        <f>IF(AND(BD$5&gt;$E19,BD$5&lt;=$F19),IF(BD$5=$E19+1,$C19,""),"")</f>
        <v/>
      </c>
      <c r="BE19" s="34">
        <f>IF(AND(BE$5&gt;$E19,BE$5&lt;=$F19),IF(BE$5=$E19+1,$C19,""),"")</f>
        <v/>
      </c>
      <c r="BF19" s="34">
        <f>IF(AND(BF$5&gt;$E19,BF$5&lt;=$F19),IF(BF$5=$E19+1,$C19,""),"")</f>
        <v/>
      </c>
      <c r="BG19" s="34">
        <f>IF(AND(BG$5&gt;$E19,BG$5&lt;=$F19),IF(BG$5=$E19+1,$C19,""),"")</f>
        <v/>
      </c>
      <c r="BH19" s="34">
        <f>IF(AND(BH$5&gt;$E19,BH$5&lt;=$F19),IF(BH$5=$E19+1,$C19,""),"")</f>
        <v/>
      </c>
      <c r="BI19" s="34">
        <f>IF(AND(BI$5&gt;$E19,BI$5&lt;=$F19),IF(BI$5=$E19+1,$C19,""),"")</f>
        <v/>
      </c>
      <c r="BJ19" s="34">
        <f>IF(AND(BJ$5&gt;$E19,BJ$5&lt;=$F19),IF(BJ$5=$E19+1,$C19,""),"")</f>
        <v/>
      </c>
      <c r="BK19" s="34">
        <f>IF(AND(BK$5&gt;$E19,BK$5&lt;=$F19),IF(BK$5=$E19+1,$C19,""),"")</f>
        <v/>
      </c>
      <c r="BL19" s="34">
        <f>IF(AND(BL$5&gt;$E19,BL$5&lt;=$F19),IF(BL$5=$E19+1,$C19,""),"")</f>
        <v/>
      </c>
      <c r="BM19" s="34">
        <f>IF(AND(BM$5&gt;$E19,BM$5&lt;=$F19),IF(BM$5=$E19+1,$C19,""),"")</f>
        <v/>
      </c>
      <c r="BN19" s="34">
        <f>IF(AND(BN$5&gt;$E19,BN$5&lt;=$F19),IF(BN$5=$E19+1,$C19,""),"")</f>
        <v/>
      </c>
      <c r="BO19" s="34">
        <f>IF(AND(BO$5&gt;$E19,BO$5&lt;=$F19),IF(BO$5=$E19+1,$C19,""),"")</f>
        <v/>
      </c>
      <c r="BP19" s="34">
        <f>IF(AND(BP$5&gt;$E19,BP$5&lt;=$F19),IF(BP$5=$E19+1,$C19,""),"")</f>
        <v/>
      </c>
      <c r="BQ19" s="34">
        <f>IF(AND(BQ$5&gt;$E19,BQ$5&lt;=$F19),IF(BQ$5=$E19+1,$C19,""),"")</f>
        <v/>
      </c>
      <c r="BR19" s="34">
        <f>IF(AND(BR$5&gt;$E19,BR$5&lt;=$F19),IF(BR$5=$E19+1,$C19,""),"")</f>
        <v/>
      </c>
      <c r="BS19" s="34">
        <f>IF(AND(BS$5&gt;$E19,BS$5&lt;=$F19),IF(BS$5=$E19+1,$C19,""),"")</f>
        <v/>
      </c>
      <c r="BT19" s="34">
        <f>IF(AND(BT$5&gt;$E19,BT$5&lt;=$F19),IF(BT$5=$E19+1,$C19,""),"")</f>
        <v/>
      </c>
      <c r="BU19" s="34">
        <f>IF(AND(BU$5&gt;$E19,BU$5&lt;=$F19),IF(BU$5=$E19+1,$C19,""),"")</f>
        <v/>
      </c>
      <c r="BV19" s="34">
        <f>IF(AND(BV$5&gt;$E19,BV$5&lt;=$F19),IF(BV$5=$E19+1,$C19,""),"")</f>
        <v/>
      </c>
      <c r="BW19" s="34">
        <f>IF(AND(BW$5&gt;$E19,BW$5&lt;=$F19),IF(BW$5=$E19+1,$C19,""),"")</f>
        <v/>
      </c>
      <c r="BX19" s="34">
        <f>IF(AND(BX$5&gt;$E19,BX$5&lt;=$F19),IF(BX$5=$E19+1,$C19,""),"")</f>
        <v/>
      </c>
      <c r="BY19" s="34">
        <f>IF(AND(BY$5&gt;$E19,BY$5&lt;=$F19),IF(BY$5=$E19+1,$C19,""),"")</f>
        <v/>
      </c>
      <c r="BZ19" s="34">
        <f>IF(AND(BZ$5&gt;$E19,BZ$5&lt;=$F19),IF(BZ$5=$E19+1,$C19,""),"")</f>
        <v/>
      </c>
      <c r="CA19" s="34">
        <f>IF(AND(CA$5&gt;$E19,CA$5&lt;=$F19),IF(CA$5=$E19+1,$C19,""),"")</f>
        <v/>
      </c>
      <c r="CB19" s="34">
        <f>IF(AND(CB$5&gt;$E19,CB$5&lt;=$F19),IF(CB$5=$E19+1,$C19,""),"")</f>
        <v/>
      </c>
      <c r="CC19" s="34">
        <f>IF(AND(CC$5&gt;$E19,CC$5&lt;=$F19),IF(CC$5=$E19+1,$C19,""),"")</f>
        <v/>
      </c>
      <c r="CD19" s="34">
        <f>IF(AND(CD$5&gt;$E19,CD$5&lt;=$F19),IF(CD$5=$E19+1,$C19,""),"")</f>
        <v/>
      </c>
      <c r="CE19" s="34">
        <f>IF(AND(CE$5&gt;$E19,CE$5&lt;=$F19),IF(CE$5=$E19+1,$C19,""),"")</f>
        <v/>
      </c>
      <c r="CF19" s="34">
        <f>IF(AND(CF$5&gt;$E19,CF$5&lt;=$F19),IF(CF$5=$E19+1,$C19,""),"")</f>
        <v/>
      </c>
      <c r="CG19" s="34">
        <f>IF(AND(CG$5&gt;$E19,CG$5&lt;=$F19),IF(CG$5=$E19+1,$C19,""),"")</f>
        <v/>
      </c>
      <c r="CH19" s="34">
        <f>IF(AND(CH$5&gt;$E19,CH$5&lt;=$F19),IF(CH$5=$E19+1,$C19,""),"")</f>
        <v/>
      </c>
      <c r="CI19" s="34">
        <f>IF(AND(CI$5&gt;$E19,CI$5&lt;=$F19),IF(CI$5=$E19+1,$C19,""),"")</f>
        <v/>
      </c>
      <c r="CJ19" s="34">
        <f>IF(AND(CJ$5&gt;$E19,CJ$5&lt;=$F19),IF(CJ$5=$E19+1,$C19,""),"")</f>
        <v/>
      </c>
      <c r="CK19" s="34">
        <f>IF(AND(CK$5&gt;$E19,CK$5&lt;=$F19),IF(CK$5=$E19+1,$C19,""),"")</f>
        <v/>
      </c>
      <c r="CL19" s="34">
        <f>IF(AND(CL$5&gt;$E19,CL$5&lt;=$F19),IF(CL$5=$E19+1,$C19,""),"")</f>
        <v/>
      </c>
      <c r="CM19" s="34">
        <f>IF(AND(CM$5&gt;$E19,CM$5&lt;=$F19),IF(CM$5=$E19+1,$C19,""),"")</f>
        <v/>
      </c>
      <c r="CN19" s="34">
        <f>IF(AND(CN$5&gt;$E19,CN$5&lt;=$F19),IF(CN$5=$E19+1,$C19,""),"")</f>
        <v/>
      </c>
      <c r="CO19" s="34">
        <f>IF(AND(CO$5&gt;$E19,CO$5&lt;=$F19),IF(CO$5=$E19+1,$C19,""),"")</f>
        <v/>
      </c>
      <c r="CP19" s="34">
        <f>IF(AND(CP$5&gt;$E19,CP$5&lt;=$F19),IF(CP$5=$E19+1,$C19,""),"")</f>
        <v/>
      </c>
      <c r="CQ19" s="34">
        <f>IF(AND(CQ$5&gt;$E19,CQ$5&lt;=$F19),IF(CQ$5=$E19+1,$C19,""),"")</f>
        <v/>
      </c>
      <c r="CR19" s="34">
        <f>IF(AND(CR$5&gt;$E19,CR$5&lt;=$F19),IF(CR$5=$E19+1,$C19,""),"")</f>
        <v/>
      </c>
      <c r="CS19" s="34">
        <f>IF(AND(CS$5&gt;$E19,CS$5&lt;=$F19),IF(CS$5=$E19+1,$C19,""),"")</f>
        <v/>
      </c>
    </row>
    <row r="20">
      <c r="A20" s="32">
        <f>Plan!A14</f>
        <v/>
      </c>
      <c r="B20" s="33">
        <f>Plan!C14</f>
        <v/>
      </c>
      <c r="C20" s="16">
        <f>Plan!D14</f>
        <v/>
      </c>
      <c r="D20" s="16">
        <f>Plan!I14</f>
        <v/>
      </c>
      <c r="E20" s="16">
        <f>Plan!K14</f>
        <v/>
      </c>
      <c r="F20" s="16">
        <f>Plan!L14</f>
        <v/>
      </c>
      <c r="G20" s="16">
        <f>Plan!O14</f>
        <v/>
      </c>
      <c r="H20" s="34">
        <f>IF(AND(H$5&gt;$E20,H$5&lt;=$F20),IF(H$5=$E20+1,$C20,""),"")</f>
        <v/>
      </c>
      <c r="I20" s="34">
        <f>IF(AND(I$5&gt;$E20,I$5&lt;=$F20),IF(I$5=$E20+1,$C20,""),"")</f>
        <v/>
      </c>
      <c r="J20" s="34">
        <f>IF(AND(J$5&gt;$E20,J$5&lt;=$F20),IF(J$5=$E20+1,$C20,""),"")</f>
        <v/>
      </c>
      <c r="K20" s="34">
        <f>IF(AND(K$5&gt;$E20,K$5&lt;=$F20),IF(K$5=$E20+1,$C20,""),"")</f>
        <v/>
      </c>
      <c r="L20" s="34">
        <f>IF(AND(L$5&gt;$E20,L$5&lt;=$F20),IF(L$5=$E20+1,$C20,""),"")</f>
        <v/>
      </c>
      <c r="M20" s="34">
        <f>IF(AND(M$5&gt;$E20,M$5&lt;=$F20),IF(M$5=$E20+1,$C20,""),"")</f>
        <v/>
      </c>
      <c r="N20" s="34">
        <f>IF(AND(N$5&gt;$E20,N$5&lt;=$F20),IF(N$5=$E20+1,$C20,""),"")</f>
        <v/>
      </c>
      <c r="O20" s="34">
        <f>IF(AND(O$5&gt;$E20,O$5&lt;=$F20),IF(O$5=$E20+1,$C20,""),"")</f>
        <v/>
      </c>
      <c r="P20" s="34">
        <f>IF(AND(P$5&gt;$E20,P$5&lt;=$F20),IF(P$5=$E20+1,$C20,""),"")</f>
        <v/>
      </c>
      <c r="Q20" s="34">
        <f>IF(AND(Q$5&gt;$E20,Q$5&lt;=$F20),IF(Q$5=$E20+1,$C20,""),"")</f>
        <v/>
      </c>
      <c r="R20" s="34">
        <f>IF(AND(R$5&gt;$E20,R$5&lt;=$F20),IF(R$5=$E20+1,$C20,""),"")</f>
        <v/>
      </c>
      <c r="S20" s="34">
        <f>IF(AND(S$5&gt;$E20,S$5&lt;=$F20),IF(S$5=$E20+1,$C20,""),"")</f>
        <v/>
      </c>
      <c r="T20" s="34">
        <f>IF(AND(T$5&gt;$E20,T$5&lt;=$F20),IF(T$5=$E20+1,$C20,""),"")</f>
        <v/>
      </c>
      <c r="U20" s="34">
        <f>IF(AND(U$5&gt;$E20,U$5&lt;=$F20),IF(U$5=$E20+1,$C20,""),"")</f>
        <v/>
      </c>
      <c r="V20" s="34">
        <f>IF(AND(V$5&gt;$E20,V$5&lt;=$F20),IF(V$5=$E20+1,$C20,""),"")</f>
        <v/>
      </c>
      <c r="W20" s="34">
        <f>IF(AND(W$5&gt;$E20,W$5&lt;=$F20),IF(W$5=$E20+1,$C20,""),"")</f>
        <v/>
      </c>
      <c r="X20" s="34">
        <f>IF(AND(X$5&gt;$E20,X$5&lt;=$F20),IF(X$5=$E20+1,$C20,""),"")</f>
        <v/>
      </c>
      <c r="Y20" s="34">
        <f>IF(AND(Y$5&gt;$E20,Y$5&lt;=$F20),IF(Y$5=$E20+1,$C20,""),"")</f>
        <v/>
      </c>
      <c r="Z20" s="34">
        <f>IF(AND(Z$5&gt;$E20,Z$5&lt;=$F20),IF(Z$5=$E20+1,$C20,""),"")</f>
        <v/>
      </c>
      <c r="AA20" s="34">
        <f>IF(AND(AA$5&gt;$E20,AA$5&lt;=$F20),IF(AA$5=$E20+1,$C20,""),"")</f>
        <v/>
      </c>
      <c r="AB20" s="34">
        <f>IF(AND(AB$5&gt;$E20,AB$5&lt;=$F20),IF(AB$5=$E20+1,$C20,""),"")</f>
        <v/>
      </c>
      <c r="AC20" s="34">
        <f>IF(AND(AC$5&gt;$E20,AC$5&lt;=$F20),IF(AC$5=$E20+1,$C20,""),"")</f>
        <v/>
      </c>
      <c r="AD20" s="34">
        <f>IF(AND(AD$5&gt;$E20,AD$5&lt;=$F20),IF(AD$5=$E20+1,$C20,""),"")</f>
        <v/>
      </c>
      <c r="AE20" s="34">
        <f>IF(AND(AE$5&gt;$E20,AE$5&lt;=$F20),IF(AE$5=$E20+1,$C20,""),"")</f>
        <v/>
      </c>
      <c r="AF20" s="34">
        <f>IF(AND(AF$5&gt;$E20,AF$5&lt;=$F20),IF(AF$5=$E20+1,$C20,""),"")</f>
        <v/>
      </c>
      <c r="AG20" s="34">
        <f>IF(AND(AG$5&gt;$E20,AG$5&lt;=$F20),IF(AG$5=$E20+1,$C20,""),"")</f>
        <v/>
      </c>
      <c r="AH20" s="34">
        <f>IF(AND(AH$5&gt;$E20,AH$5&lt;=$F20),IF(AH$5=$E20+1,$C20,""),"")</f>
        <v/>
      </c>
      <c r="AI20" s="34">
        <f>IF(AND(AI$5&gt;$E20,AI$5&lt;=$F20),IF(AI$5=$E20+1,$C20,""),"")</f>
        <v/>
      </c>
      <c r="AJ20" s="34">
        <f>IF(AND(AJ$5&gt;$E20,AJ$5&lt;=$F20),IF(AJ$5=$E20+1,$C20,""),"")</f>
        <v/>
      </c>
      <c r="AK20" s="34">
        <f>IF(AND(AK$5&gt;$E20,AK$5&lt;=$F20),IF(AK$5=$E20+1,$C20,""),"")</f>
        <v/>
      </c>
      <c r="AL20" s="34">
        <f>IF(AND(AL$5&gt;$E20,AL$5&lt;=$F20),IF(AL$5=$E20+1,$C20,""),"")</f>
        <v/>
      </c>
      <c r="AM20" s="34">
        <f>IF(AND(AM$5&gt;$E20,AM$5&lt;=$F20),IF(AM$5=$E20+1,$C20,""),"")</f>
        <v/>
      </c>
      <c r="AN20" s="34">
        <f>IF(AND(AN$5&gt;$E20,AN$5&lt;=$F20),IF(AN$5=$E20+1,$C20,""),"")</f>
        <v/>
      </c>
      <c r="AO20" s="34">
        <f>IF(AND(AO$5&gt;$E20,AO$5&lt;=$F20),IF(AO$5=$E20+1,$C20,""),"")</f>
        <v/>
      </c>
      <c r="AP20" s="34">
        <f>IF(AND(AP$5&gt;$E20,AP$5&lt;=$F20),IF(AP$5=$E20+1,$C20,""),"")</f>
        <v/>
      </c>
      <c r="AQ20" s="34">
        <f>IF(AND(AQ$5&gt;$E20,AQ$5&lt;=$F20),IF(AQ$5=$E20+1,$C20,""),"")</f>
        <v/>
      </c>
      <c r="AR20" s="34">
        <f>IF(AND(AR$5&gt;$E20,AR$5&lt;=$F20),IF(AR$5=$E20+1,$C20,""),"")</f>
        <v/>
      </c>
      <c r="AS20" s="34">
        <f>IF(AND(AS$5&gt;$E20,AS$5&lt;=$F20),IF(AS$5=$E20+1,$C20,""),"")</f>
        <v/>
      </c>
      <c r="AT20" s="34">
        <f>IF(AND(AT$5&gt;$E20,AT$5&lt;=$F20),IF(AT$5=$E20+1,$C20,""),"")</f>
        <v/>
      </c>
      <c r="AU20" s="34">
        <f>IF(AND(AU$5&gt;$E20,AU$5&lt;=$F20),IF(AU$5=$E20+1,$C20,""),"")</f>
        <v/>
      </c>
      <c r="AV20" s="34">
        <f>IF(AND(AV$5&gt;$E20,AV$5&lt;=$F20),IF(AV$5=$E20+1,$C20,""),"")</f>
        <v/>
      </c>
      <c r="AW20" s="34">
        <f>IF(AND(AW$5&gt;$E20,AW$5&lt;=$F20),IF(AW$5=$E20+1,$C20,""),"")</f>
        <v/>
      </c>
      <c r="AX20" s="34">
        <f>IF(AND(AX$5&gt;$E20,AX$5&lt;=$F20),IF(AX$5=$E20+1,$C20,""),"")</f>
        <v/>
      </c>
      <c r="AY20" s="34">
        <f>IF(AND(AY$5&gt;$E20,AY$5&lt;=$F20),IF(AY$5=$E20+1,$C20,""),"")</f>
        <v/>
      </c>
      <c r="AZ20" s="34">
        <f>IF(AND(AZ$5&gt;$E20,AZ$5&lt;=$F20),IF(AZ$5=$E20+1,$C20,""),"")</f>
        <v/>
      </c>
      <c r="BA20" s="34">
        <f>IF(AND(BA$5&gt;$E20,BA$5&lt;=$F20),IF(BA$5=$E20+1,$C20,""),"")</f>
        <v/>
      </c>
      <c r="BB20" s="34">
        <f>IF(AND(BB$5&gt;$E20,BB$5&lt;=$F20),IF(BB$5=$E20+1,$C20,""),"")</f>
        <v/>
      </c>
      <c r="BC20" s="34">
        <f>IF(AND(BC$5&gt;$E20,BC$5&lt;=$F20),IF(BC$5=$E20+1,$C20,""),"")</f>
        <v/>
      </c>
      <c r="BD20" s="34">
        <f>IF(AND(BD$5&gt;$E20,BD$5&lt;=$F20),IF(BD$5=$E20+1,$C20,""),"")</f>
        <v/>
      </c>
      <c r="BE20" s="34">
        <f>IF(AND(BE$5&gt;$E20,BE$5&lt;=$F20),IF(BE$5=$E20+1,$C20,""),"")</f>
        <v/>
      </c>
      <c r="BF20" s="34">
        <f>IF(AND(BF$5&gt;$E20,BF$5&lt;=$F20),IF(BF$5=$E20+1,$C20,""),"")</f>
        <v/>
      </c>
      <c r="BG20" s="34">
        <f>IF(AND(BG$5&gt;$E20,BG$5&lt;=$F20),IF(BG$5=$E20+1,$C20,""),"")</f>
        <v/>
      </c>
      <c r="BH20" s="34">
        <f>IF(AND(BH$5&gt;$E20,BH$5&lt;=$F20),IF(BH$5=$E20+1,$C20,""),"")</f>
        <v/>
      </c>
      <c r="BI20" s="34">
        <f>IF(AND(BI$5&gt;$E20,BI$5&lt;=$F20),IF(BI$5=$E20+1,$C20,""),"")</f>
        <v/>
      </c>
      <c r="BJ20" s="34">
        <f>IF(AND(BJ$5&gt;$E20,BJ$5&lt;=$F20),IF(BJ$5=$E20+1,$C20,""),"")</f>
        <v/>
      </c>
      <c r="BK20" s="34">
        <f>IF(AND(BK$5&gt;$E20,BK$5&lt;=$F20),IF(BK$5=$E20+1,$C20,""),"")</f>
        <v/>
      </c>
      <c r="BL20" s="34">
        <f>IF(AND(BL$5&gt;$E20,BL$5&lt;=$F20),IF(BL$5=$E20+1,$C20,""),"")</f>
        <v/>
      </c>
      <c r="BM20" s="34">
        <f>IF(AND(BM$5&gt;$E20,BM$5&lt;=$F20),IF(BM$5=$E20+1,$C20,""),"")</f>
        <v/>
      </c>
      <c r="BN20" s="34">
        <f>IF(AND(BN$5&gt;$E20,BN$5&lt;=$F20),IF(BN$5=$E20+1,$C20,""),"")</f>
        <v/>
      </c>
      <c r="BO20" s="34">
        <f>IF(AND(BO$5&gt;$E20,BO$5&lt;=$F20),IF(BO$5=$E20+1,$C20,""),"")</f>
        <v/>
      </c>
      <c r="BP20" s="34">
        <f>IF(AND(BP$5&gt;$E20,BP$5&lt;=$F20),IF(BP$5=$E20+1,$C20,""),"")</f>
        <v/>
      </c>
      <c r="BQ20" s="34">
        <f>IF(AND(BQ$5&gt;$E20,BQ$5&lt;=$F20),IF(BQ$5=$E20+1,$C20,""),"")</f>
        <v/>
      </c>
      <c r="BR20" s="34">
        <f>IF(AND(BR$5&gt;$E20,BR$5&lt;=$F20),IF(BR$5=$E20+1,$C20,""),"")</f>
        <v/>
      </c>
      <c r="BS20" s="34">
        <f>IF(AND(BS$5&gt;$E20,BS$5&lt;=$F20),IF(BS$5=$E20+1,$C20,""),"")</f>
        <v/>
      </c>
      <c r="BT20" s="34">
        <f>IF(AND(BT$5&gt;$E20,BT$5&lt;=$F20),IF(BT$5=$E20+1,$C20,""),"")</f>
        <v/>
      </c>
      <c r="BU20" s="34">
        <f>IF(AND(BU$5&gt;$E20,BU$5&lt;=$F20),IF(BU$5=$E20+1,$C20,""),"")</f>
        <v/>
      </c>
      <c r="BV20" s="34">
        <f>IF(AND(BV$5&gt;$E20,BV$5&lt;=$F20),IF(BV$5=$E20+1,$C20,""),"")</f>
        <v/>
      </c>
      <c r="BW20" s="34">
        <f>IF(AND(BW$5&gt;$E20,BW$5&lt;=$F20),IF(BW$5=$E20+1,$C20,""),"")</f>
        <v/>
      </c>
      <c r="BX20" s="34">
        <f>IF(AND(BX$5&gt;$E20,BX$5&lt;=$F20),IF(BX$5=$E20+1,$C20,""),"")</f>
        <v/>
      </c>
      <c r="BY20" s="34">
        <f>IF(AND(BY$5&gt;$E20,BY$5&lt;=$F20),IF(BY$5=$E20+1,$C20,""),"")</f>
        <v/>
      </c>
      <c r="BZ20" s="34">
        <f>IF(AND(BZ$5&gt;$E20,BZ$5&lt;=$F20),IF(BZ$5=$E20+1,$C20,""),"")</f>
        <v/>
      </c>
      <c r="CA20" s="34">
        <f>IF(AND(CA$5&gt;$E20,CA$5&lt;=$F20),IF(CA$5=$E20+1,$C20,""),"")</f>
        <v/>
      </c>
      <c r="CB20" s="34">
        <f>IF(AND(CB$5&gt;$E20,CB$5&lt;=$F20),IF(CB$5=$E20+1,$C20,""),"")</f>
        <v/>
      </c>
      <c r="CC20" s="34">
        <f>IF(AND(CC$5&gt;$E20,CC$5&lt;=$F20),IF(CC$5=$E20+1,$C20,""),"")</f>
        <v/>
      </c>
      <c r="CD20" s="34">
        <f>IF(AND(CD$5&gt;$E20,CD$5&lt;=$F20),IF(CD$5=$E20+1,$C20,""),"")</f>
        <v/>
      </c>
      <c r="CE20" s="34">
        <f>IF(AND(CE$5&gt;$E20,CE$5&lt;=$F20),IF(CE$5=$E20+1,$C20,""),"")</f>
        <v/>
      </c>
      <c r="CF20" s="34">
        <f>IF(AND(CF$5&gt;$E20,CF$5&lt;=$F20),IF(CF$5=$E20+1,$C20,""),"")</f>
        <v/>
      </c>
      <c r="CG20" s="34">
        <f>IF(AND(CG$5&gt;$E20,CG$5&lt;=$F20),IF(CG$5=$E20+1,$C20,""),"")</f>
        <v/>
      </c>
      <c r="CH20" s="34">
        <f>IF(AND(CH$5&gt;$E20,CH$5&lt;=$F20),IF(CH$5=$E20+1,$C20,""),"")</f>
        <v/>
      </c>
      <c r="CI20" s="34">
        <f>IF(AND(CI$5&gt;$E20,CI$5&lt;=$F20),IF(CI$5=$E20+1,$C20,""),"")</f>
        <v/>
      </c>
      <c r="CJ20" s="34">
        <f>IF(AND(CJ$5&gt;$E20,CJ$5&lt;=$F20),IF(CJ$5=$E20+1,$C20,""),"")</f>
        <v/>
      </c>
      <c r="CK20" s="34">
        <f>IF(AND(CK$5&gt;$E20,CK$5&lt;=$F20),IF(CK$5=$E20+1,$C20,""),"")</f>
        <v/>
      </c>
      <c r="CL20" s="34">
        <f>IF(AND(CL$5&gt;$E20,CL$5&lt;=$F20),IF(CL$5=$E20+1,$C20,""),"")</f>
        <v/>
      </c>
      <c r="CM20" s="34">
        <f>IF(AND(CM$5&gt;$E20,CM$5&lt;=$F20),IF(CM$5=$E20+1,$C20,""),"")</f>
        <v/>
      </c>
      <c r="CN20" s="34">
        <f>IF(AND(CN$5&gt;$E20,CN$5&lt;=$F20),IF(CN$5=$E20+1,$C20,""),"")</f>
        <v/>
      </c>
      <c r="CO20" s="34">
        <f>IF(AND(CO$5&gt;$E20,CO$5&lt;=$F20),IF(CO$5=$E20+1,$C20,""),"")</f>
        <v/>
      </c>
      <c r="CP20" s="34">
        <f>IF(AND(CP$5&gt;$E20,CP$5&lt;=$F20),IF(CP$5=$E20+1,$C20,""),"")</f>
        <v/>
      </c>
      <c r="CQ20" s="34">
        <f>IF(AND(CQ$5&gt;$E20,CQ$5&lt;=$F20),IF(CQ$5=$E20+1,$C20,""),"")</f>
        <v/>
      </c>
      <c r="CR20" s="34">
        <f>IF(AND(CR$5&gt;$E20,CR$5&lt;=$F20),IF(CR$5=$E20+1,$C20,""),"")</f>
        <v/>
      </c>
      <c r="CS20" s="34">
        <f>IF(AND(CS$5&gt;$E20,CS$5&lt;=$F20),IF(CS$5=$E20+1,$C20,""),"")</f>
        <v/>
      </c>
    </row>
    <row r="21">
      <c r="A21" s="32">
        <f>Plan!A15</f>
        <v/>
      </c>
      <c r="B21" s="33">
        <f>Plan!C15</f>
        <v/>
      </c>
      <c r="C21" s="16">
        <f>Plan!D15</f>
        <v/>
      </c>
      <c r="D21" s="16">
        <f>Plan!I15</f>
        <v/>
      </c>
      <c r="E21" s="16">
        <f>Plan!K15</f>
        <v/>
      </c>
      <c r="F21" s="16">
        <f>Plan!L15</f>
        <v/>
      </c>
      <c r="G21" s="16">
        <f>Plan!O15</f>
        <v/>
      </c>
      <c r="H21" s="34">
        <f>IF(AND(H$5&gt;$E21,H$5&lt;=$F21),IF(H$5=$E21+1,$C21,""),"")</f>
        <v/>
      </c>
      <c r="I21" s="34">
        <f>IF(AND(I$5&gt;$E21,I$5&lt;=$F21),IF(I$5=$E21+1,$C21,""),"")</f>
        <v/>
      </c>
      <c r="J21" s="34">
        <f>IF(AND(J$5&gt;$E21,J$5&lt;=$F21),IF(J$5=$E21+1,$C21,""),"")</f>
        <v/>
      </c>
      <c r="K21" s="34">
        <f>IF(AND(K$5&gt;$E21,K$5&lt;=$F21),IF(K$5=$E21+1,$C21,""),"")</f>
        <v/>
      </c>
      <c r="L21" s="34">
        <f>IF(AND(L$5&gt;$E21,L$5&lt;=$F21),IF(L$5=$E21+1,$C21,""),"")</f>
        <v/>
      </c>
      <c r="M21" s="34">
        <f>IF(AND(M$5&gt;$E21,M$5&lt;=$F21),IF(M$5=$E21+1,$C21,""),"")</f>
        <v/>
      </c>
      <c r="N21" s="34">
        <f>IF(AND(N$5&gt;$E21,N$5&lt;=$F21),IF(N$5=$E21+1,$C21,""),"")</f>
        <v/>
      </c>
      <c r="O21" s="34">
        <f>IF(AND(O$5&gt;$E21,O$5&lt;=$F21),IF(O$5=$E21+1,$C21,""),"")</f>
        <v/>
      </c>
      <c r="P21" s="34">
        <f>IF(AND(P$5&gt;$E21,P$5&lt;=$F21),IF(P$5=$E21+1,$C21,""),"")</f>
        <v/>
      </c>
      <c r="Q21" s="34">
        <f>IF(AND(Q$5&gt;$E21,Q$5&lt;=$F21),IF(Q$5=$E21+1,$C21,""),"")</f>
        <v/>
      </c>
      <c r="R21" s="34">
        <f>IF(AND(R$5&gt;$E21,R$5&lt;=$F21),IF(R$5=$E21+1,$C21,""),"")</f>
        <v/>
      </c>
      <c r="S21" s="34">
        <f>IF(AND(S$5&gt;$E21,S$5&lt;=$F21),IF(S$5=$E21+1,$C21,""),"")</f>
        <v/>
      </c>
      <c r="T21" s="34">
        <f>IF(AND(T$5&gt;$E21,T$5&lt;=$F21),IF(T$5=$E21+1,$C21,""),"")</f>
        <v/>
      </c>
      <c r="U21" s="34">
        <f>IF(AND(U$5&gt;$E21,U$5&lt;=$F21),IF(U$5=$E21+1,$C21,""),"")</f>
        <v/>
      </c>
      <c r="V21" s="34">
        <f>IF(AND(V$5&gt;$E21,V$5&lt;=$F21),IF(V$5=$E21+1,$C21,""),"")</f>
        <v/>
      </c>
      <c r="W21" s="34">
        <f>IF(AND(W$5&gt;$E21,W$5&lt;=$F21),IF(W$5=$E21+1,$C21,""),"")</f>
        <v/>
      </c>
      <c r="X21" s="34">
        <f>IF(AND(X$5&gt;$E21,X$5&lt;=$F21),IF(X$5=$E21+1,$C21,""),"")</f>
        <v/>
      </c>
      <c r="Y21" s="34">
        <f>IF(AND(Y$5&gt;$E21,Y$5&lt;=$F21),IF(Y$5=$E21+1,$C21,""),"")</f>
        <v/>
      </c>
      <c r="Z21" s="34">
        <f>IF(AND(Z$5&gt;$E21,Z$5&lt;=$F21),IF(Z$5=$E21+1,$C21,""),"")</f>
        <v/>
      </c>
      <c r="AA21" s="34">
        <f>IF(AND(AA$5&gt;$E21,AA$5&lt;=$F21),IF(AA$5=$E21+1,$C21,""),"")</f>
        <v/>
      </c>
      <c r="AB21" s="34">
        <f>IF(AND(AB$5&gt;$E21,AB$5&lt;=$F21),IF(AB$5=$E21+1,$C21,""),"")</f>
        <v/>
      </c>
      <c r="AC21" s="34">
        <f>IF(AND(AC$5&gt;$E21,AC$5&lt;=$F21),IF(AC$5=$E21+1,$C21,""),"")</f>
        <v/>
      </c>
      <c r="AD21" s="34">
        <f>IF(AND(AD$5&gt;$E21,AD$5&lt;=$F21),IF(AD$5=$E21+1,$C21,""),"")</f>
        <v/>
      </c>
      <c r="AE21" s="34">
        <f>IF(AND(AE$5&gt;$E21,AE$5&lt;=$F21),IF(AE$5=$E21+1,$C21,""),"")</f>
        <v/>
      </c>
      <c r="AF21" s="34">
        <f>IF(AND(AF$5&gt;$E21,AF$5&lt;=$F21),IF(AF$5=$E21+1,$C21,""),"")</f>
        <v/>
      </c>
      <c r="AG21" s="34">
        <f>IF(AND(AG$5&gt;$E21,AG$5&lt;=$F21),IF(AG$5=$E21+1,$C21,""),"")</f>
        <v/>
      </c>
      <c r="AH21" s="34">
        <f>IF(AND(AH$5&gt;$E21,AH$5&lt;=$F21),IF(AH$5=$E21+1,$C21,""),"")</f>
        <v/>
      </c>
      <c r="AI21" s="34">
        <f>IF(AND(AI$5&gt;$E21,AI$5&lt;=$F21),IF(AI$5=$E21+1,$C21,""),"")</f>
        <v/>
      </c>
      <c r="AJ21" s="34">
        <f>IF(AND(AJ$5&gt;$E21,AJ$5&lt;=$F21),IF(AJ$5=$E21+1,$C21,""),"")</f>
        <v/>
      </c>
      <c r="AK21" s="34">
        <f>IF(AND(AK$5&gt;$E21,AK$5&lt;=$F21),IF(AK$5=$E21+1,$C21,""),"")</f>
        <v/>
      </c>
      <c r="AL21" s="34">
        <f>IF(AND(AL$5&gt;$E21,AL$5&lt;=$F21),IF(AL$5=$E21+1,$C21,""),"")</f>
        <v/>
      </c>
      <c r="AM21" s="34">
        <f>IF(AND(AM$5&gt;$E21,AM$5&lt;=$F21),IF(AM$5=$E21+1,$C21,""),"")</f>
        <v/>
      </c>
      <c r="AN21" s="34">
        <f>IF(AND(AN$5&gt;$E21,AN$5&lt;=$F21),IF(AN$5=$E21+1,$C21,""),"")</f>
        <v/>
      </c>
      <c r="AO21" s="34">
        <f>IF(AND(AO$5&gt;$E21,AO$5&lt;=$F21),IF(AO$5=$E21+1,$C21,""),"")</f>
        <v/>
      </c>
      <c r="AP21" s="34">
        <f>IF(AND(AP$5&gt;$E21,AP$5&lt;=$F21),IF(AP$5=$E21+1,$C21,""),"")</f>
        <v/>
      </c>
      <c r="AQ21" s="34">
        <f>IF(AND(AQ$5&gt;$E21,AQ$5&lt;=$F21),IF(AQ$5=$E21+1,$C21,""),"")</f>
        <v/>
      </c>
      <c r="AR21" s="34">
        <f>IF(AND(AR$5&gt;$E21,AR$5&lt;=$F21),IF(AR$5=$E21+1,$C21,""),"")</f>
        <v/>
      </c>
      <c r="AS21" s="34">
        <f>IF(AND(AS$5&gt;$E21,AS$5&lt;=$F21),IF(AS$5=$E21+1,$C21,""),"")</f>
        <v/>
      </c>
      <c r="AT21" s="34">
        <f>IF(AND(AT$5&gt;$E21,AT$5&lt;=$F21),IF(AT$5=$E21+1,$C21,""),"")</f>
        <v/>
      </c>
      <c r="AU21" s="34">
        <f>IF(AND(AU$5&gt;$E21,AU$5&lt;=$F21),IF(AU$5=$E21+1,$C21,""),"")</f>
        <v/>
      </c>
      <c r="AV21" s="34">
        <f>IF(AND(AV$5&gt;$E21,AV$5&lt;=$F21),IF(AV$5=$E21+1,$C21,""),"")</f>
        <v/>
      </c>
      <c r="AW21" s="34">
        <f>IF(AND(AW$5&gt;$E21,AW$5&lt;=$F21),IF(AW$5=$E21+1,$C21,""),"")</f>
        <v/>
      </c>
      <c r="AX21" s="34">
        <f>IF(AND(AX$5&gt;$E21,AX$5&lt;=$F21),IF(AX$5=$E21+1,$C21,""),"")</f>
        <v/>
      </c>
      <c r="AY21" s="34">
        <f>IF(AND(AY$5&gt;$E21,AY$5&lt;=$F21),IF(AY$5=$E21+1,$C21,""),"")</f>
        <v/>
      </c>
      <c r="AZ21" s="34">
        <f>IF(AND(AZ$5&gt;$E21,AZ$5&lt;=$F21),IF(AZ$5=$E21+1,$C21,""),"")</f>
        <v/>
      </c>
      <c r="BA21" s="34">
        <f>IF(AND(BA$5&gt;$E21,BA$5&lt;=$F21),IF(BA$5=$E21+1,$C21,""),"")</f>
        <v/>
      </c>
      <c r="BB21" s="34">
        <f>IF(AND(BB$5&gt;$E21,BB$5&lt;=$F21),IF(BB$5=$E21+1,$C21,""),"")</f>
        <v/>
      </c>
      <c r="BC21" s="34">
        <f>IF(AND(BC$5&gt;$E21,BC$5&lt;=$F21),IF(BC$5=$E21+1,$C21,""),"")</f>
        <v/>
      </c>
      <c r="BD21" s="34">
        <f>IF(AND(BD$5&gt;$E21,BD$5&lt;=$F21),IF(BD$5=$E21+1,$C21,""),"")</f>
        <v/>
      </c>
      <c r="BE21" s="34">
        <f>IF(AND(BE$5&gt;$E21,BE$5&lt;=$F21),IF(BE$5=$E21+1,$C21,""),"")</f>
        <v/>
      </c>
      <c r="BF21" s="34">
        <f>IF(AND(BF$5&gt;$E21,BF$5&lt;=$F21),IF(BF$5=$E21+1,$C21,""),"")</f>
        <v/>
      </c>
      <c r="BG21" s="34">
        <f>IF(AND(BG$5&gt;$E21,BG$5&lt;=$F21),IF(BG$5=$E21+1,$C21,""),"")</f>
        <v/>
      </c>
      <c r="BH21" s="34">
        <f>IF(AND(BH$5&gt;$E21,BH$5&lt;=$F21),IF(BH$5=$E21+1,$C21,""),"")</f>
        <v/>
      </c>
      <c r="BI21" s="34">
        <f>IF(AND(BI$5&gt;$E21,BI$5&lt;=$F21),IF(BI$5=$E21+1,$C21,""),"")</f>
        <v/>
      </c>
      <c r="BJ21" s="34">
        <f>IF(AND(BJ$5&gt;$E21,BJ$5&lt;=$F21),IF(BJ$5=$E21+1,$C21,""),"")</f>
        <v/>
      </c>
      <c r="BK21" s="34">
        <f>IF(AND(BK$5&gt;$E21,BK$5&lt;=$F21),IF(BK$5=$E21+1,$C21,""),"")</f>
        <v/>
      </c>
      <c r="BL21" s="34">
        <f>IF(AND(BL$5&gt;$E21,BL$5&lt;=$F21),IF(BL$5=$E21+1,$C21,""),"")</f>
        <v/>
      </c>
      <c r="BM21" s="34">
        <f>IF(AND(BM$5&gt;$E21,BM$5&lt;=$F21),IF(BM$5=$E21+1,$C21,""),"")</f>
        <v/>
      </c>
      <c r="BN21" s="34">
        <f>IF(AND(BN$5&gt;$E21,BN$5&lt;=$F21),IF(BN$5=$E21+1,$C21,""),"")</f>
        <v/>
      </c>
      <c r="BO21" s="34">
        <f>IF(AND(BO$5&gt;$E21,BO$5&lt;=$F21),IF(BO$5=$E21+1,$C21,""),"")</f>
        <v/>
      </c>
      <c r="BP21" s="34">
        <f>IF(AND(BP$5&gt;$E21,BP$5&lt;=$F21),IF(BP$5=$E21+1,$C21,""),"")</f>
        <v/>
      </c>
      <c r="BQ21" s="34">
        <f>IF(AND(BQ$5&gt;$E21,BQ$5&lt;=$F21),IF(BQ$5=$E21+1,$C21,""),"")</f>
        <v/>
      </c>
      <c r="BR21" s="34">
        <f>IF(AND(BR$5&gt;$E21,BR$5&lt;=$F21),IF(BR$5=$E21+1,$C21,""),"")</f>
        <v/>
      </c>
      <c r="BS21" s="34">
        <f>IF(AND(BS$5&gt;$E21,BS$5&lt;=$F21),IF(BS$5=$E21+1,$C21,""),"")</f>
        <v/>
      </c>
      <c r="BT21" s="34">
        <f>IF(AND(BT$5&gt;$E21,BT$5&lt;=$F21),IF(BT$5=$E21+1,$C21,""),"")</f>
        <v/>
      </c>
      <c r="BU21" s="34">
        <f>IF(AND(BU$5&gt;$E21,BU$5&lt;=$F21),IF(BU$5=$E21+1,$C21,""),"")</f>
        <v/>
      </c>
      <c r="BV21" s="34">
        <f>IF(AND(BV$5&gt;$E21,BV$5&lt;=$F21),IF(BV$5=$E21+1,$C21,""),"")</f>
        <v/>
      </c>
      <c r="BW21" s="34">
        <f>IF(AND(BW$5&gt;$E21,BW$5&lt;=$F21),IF(BW$5=$E21+1,$C21,""),"")</f>
        <v/>
      </c>
      <c r="BX21" s="34">
        <f>IF(AND(BX$5&gt;$E21,BX$5&lt;=$F21),IF(BX$5=$E21+1,$C21,""),"")</f>
        <v/>
      </c>
      <c r="BY21" s="34">
        <f>IF(AND(BY$5&gt;$E21,BY$5&lt;=$F21),IF(BY$5=$E21+1,$C21,""),"")</f>
        <v/>
      </c>
      <c r="BZ21" s="34">
        <f>IF(AND(BZ$5&gt;$E21,BZ$5&lt;=$F21),IF(BZ$5=$E21+1,$C21,""),"")</f>
        <v/>
      </c>
      <c r="CA21" s="34">
        <f>IF(AND(CA$5&gt;$E21,CA$5&lt;=$F21),IF(CA$5=$E21+1,$C21,""),"")</f>
        <v/>
      </c>
      <c r="CB21" s="34">
        <f>IF(AND(CB$5&gt;$E21,CB$5&lt;=$F21),IF(CB$5=$E21+1,$C21,""),"")</f>
        <v/>
      </c>
      <c r="CC21" s="34">
        <f>IF(AND(CC$5&gt;$E21,CC$5&lt;=$F21),IF(CC$5=$E21+1,$C21,""),"")</f>
        <v/>
      </c>
      <c r="CD21" s="34">
        <f>IF(AND(CD$5&gt;$E21,CD$5&lt;=$F21),IF(CD$5=$E21+1,$C21,""),"")</f>
        <v/>
      </c>
      <c r="CE21" s="34">
        <f>IF(AND(CE$5&gt;$E21,CE$5&lt;=$F21),IF(CE$5=$E21+1,$C21,""),"")</f>
        <v/>
      </c>
      <c r="CF21" s="34">
        <f>IF(AND(CF$5&gt;$E21,CF$5&lt;=$F21),IF(CF$5=$E21+1,$C21,""),"")</f>
        <v/>
      </c>
      <c r="CG21" s="34">
        <f>IF(AND(CG$5&gt;$E21,CG$5&lt;=$F21),IF(CG$5=$E21+1,$C21,""),"")</f>
        <v/>
      </c>
      <c r="CH21" s="34">
        <f>IF(AND(CH$5&gt;$E21,CH$5&lt;=$F21),IF(CH$5=$E21+1,$C21,""),"")</f>
        <v/>
      </c>
      <c r="CI21" s="34">
        <f>IF(AND(CI$5&gt;$E21,CI$5&lt;=$F21),IF(CI$5=$E21+1,$C21,""),"")</f>
        <v/>
      </c>
      <c r="CJ21" s="34">
        <f>IF(AND(CJ$5&gt;$E21,CJ$5&lt;=$F21),IF(CJ$5=$E21+1,$C21,""),"")</f>
        <v/>
      </c>
      <c r="CK21" s="34">
        <f>IF(AND(CK$5&gt;$E21,CK$5&lt;=$F21),IF(CK$5=$E21+1,$C21,""),"")</f>
        <v/>
      </c>
      <c r="CL21" s="34">
        <f>IF(AND(CL$5&gt;$E21,CL$5&lt;=$F21),IF(CL$5=$E21+1,$C21,""),"")</f>
        <v/>
      </c>
      <c r="CM21" s="34">
        <f>IF(AND(CM$5&gt;$E21,CM$5&lt;=$F21),IF(CM$5=$E21+1,$C21,""),"")</f>
        <v/>
      </c>
      <c r="CN21" s="34">
        <f>IF(AND(CN$5&gt;$E21,CN$5&lt;=$F21),IF(CN$5=$E21+1,$C21,""),"")</f>
        <v/>
      </c>
      <c r="CO21" s="34">
        <f>IF(AND(CO$5&gt;$E21,CO$5&lt;=$F21),IF(CO$5=$E21+1,$C21,""),"")</f>
        <v/>
      </c>
      <c r="CP21" s="34">
        <f>IF(AND(CP$5&gt;$E21,CP$5&lt;=$F21),IF(CP$5=$E21+1,$C21,""),"")</f>
        <v/>
      </c>
      <c r="CQ21" s="34">
        <f>IF(AND(CQ$5&gt;$E21,CQ$5&lt;=$F21),IF(CQ$5=$E21+1,$C21,""),"")</f>
        <v/>
      </c>
      <c r="CR21" s="34">
        <f>IF(AND(CR$5&gt;$E21,CR$5&lt;=$F21),IF(CR$5=$E21+1,$C21,""),"")</f>
        <v/>
      </c>
      <c r="CS21" s="34">
        <f>IF(AND(CS$5&gt;$E21,CS$5&lt;=$F21),IF(CS$5=$E21+1,$C21,""),"")</f>
        <v/>
      </c>
    </row>
    <row r="22">
      <c r="A22" s="32">
        <f>Plan!A16</f>
        <v/>
      </c>
      <c r="B22" s="33">
        <f>Plan!C16</f>
        <v/>
      </c>
      <c r="C22" s="16">
        <f>Plan!D16</f>
        <v/>
      </c>
      <c r="D22" s="16">
        <f>Plan!I16</f>
        <v/>
      </c>
      <c r="E22" s="16">
        <f>Plan!K16</f>
        <v/>
      </c>
      <c r="F22" s="16">
        <f>Plan!L16</f>
        <v/>
      </c>
      <c r="G22" s="16">
        <f>Plan!O16</f>
        <v/>
      </c>
      <c r="H22" s="34">
        <f>IF(AND(H$5&gt;$E22,H$5&lt;=$F22),IF(H$5=$E22+1,$C22,""),"")</f>
        <v/>
      </c>
      <c r="I22" s="34">
        <f>IF(AND(I$5&gt;$E22,I$5&lt;=$F22),IF(I$5=$E22+1,$C22,""),"")</f>
        <v/>
      </c>
      <c r="J22" s="34">
        <f>IF(AND(J$5&gt;$E22,J$5&lt;=$F22),IF(J$5=$E22+1,$C22,""),"")</f>
        <v/>
      </c>
      <c r="K22" s="34">
        <f>IF(AND(K$5&gt;$E22,K$5&lt;=$F22),IF(K$5=$E22+1,$C22,""),"")</f>
        <v/>
      </c>
      <c r="L22" s="34">
        <f>IF(AND(L$5&gt;$E22,L$5&lt;=$F22),IF(L$5=$E22+1,$C22,""),"")</f>
        <v/>
      </c>
      <c r="M22" s="34">
        <f>IF(AND(M$5&gt;$E22,M$5&lt;=$F22),IF(M$5=$E22+1,$C22,""),"")</f>
        <v/>
      </c>
      <c r="N22" s="34">
        <f>IF(AND(N$5&gt;$E22,N$5&lt;=$F22),IF(N$5=$E22+1,$C22,""),"")</f>
        <v/>
      </c>
      <c r="O22" s="34">
        <f>IF(AND(O$5&gt;$E22,O$5&lt;=$F22),IF(O$5=$E22+1,$C22,""),"")</f>
        <v/>
      </c>
      <c r="P22" s="34">
        <f>IF(AND(P$5&gt;$E22,P$5&lt;=$F22),IF(P$5=$E22+1,$C22,""),"")</f>
        <v/>
      </c>
      <c r="Q22" s="34">
        <f>IF(AND(Q$5&gt;$E22,Q$5&lt;=$F22),IF(Q$5=$E22+1,$C22,""),"")</f>
        <v/>
      </c>
      <c r="R22" s="34">
        <f>IF(AND(R$5&gt;$E22,R$5&lt;=$F22),IF(R$5=$E22+1,$C22,""),"")</f>
        <v/>
      </c>
      <c r="S22" s="34">
        <f>IF(AND(S$5&gt;$E22,S$5&lt;=$F22),IF(S$5=$E22+1,$C22,""),"")</f>
        <v/>
      </c>
      <c r="T22" s="34">
        <f>IF(AND(T$5&gt;$E22,T$5&lt;=$F22),IF(T$5=$E22+1,$C22,""),"")</f>
        <v/>
      </c>
      <c r="U22" s="34">
        <f>IF(AND(U$5&gt;$E22,U$5&lt;=$F22),IF(U$5=$E22+1,$C22,""),"")</f>
        <v/>
      </c>
      <c r="V22" s="34">
        <f>IF(AND(V$5&gt;$E22,V$5&lt;=$F22),IF(V$5=$E22+1,$C22,""),"")</f>
        <v/>
      </c>
      <c r="W22" s="34">
        <f>IF(AND(W$5&gt;$E22,W$5&lt;=$F22),IF(W$5=$E22+1,$C22,""),"")</f>
        <v/>
      </c>
      <c r="X22" s="34">
        <f>IF(AND(X$5&gt;$E22,X$5&lt;=$F22),IF(X$5=$E22+1,$C22,""),"")</f>
        <v/>
      </c>
      <c r="Y22" s="34">
        <f>IF(AND(Y$5&gt;$E22,Y$5&lt;=$F22),IF(Y$5=$E22+1,$C22,""),"")</f>
        <v/>
      </c>
      <c r="Z22" s="34">
        <f>IF(AND(Z$5&gt;$E22,Z$5&lt;=$F22),IF(Z$5=$E22+1,$C22,""),"")</f>
        <v/>
      </c>
      <c r="AA22" s="34">
        <f>IF(AND(AA$5&gt;$E22,AA$5&lt;=$F22),IF(AA$5=$E22+1,$C22,""),"")</f>
        <v/>
      </c>
      <c r="AB22" s="34">
        <f>IF(AND(AB$5&gt;$E22,AB$5&lt;=$F22),IF(AB$5=$E22+1,$C22,""),"")</f>
        <v/>
      </c>
      <c r="AC22" s="34">
        <f>IF(AND(AC$5&gt;$E22,AC$5&lt;=$F22),IF(AC$5=$E22+1,$C22,""),"")</f>
        <v/>
      </c>
      <c r="AD22" s="34">
        <f>IF(AND(AD$5&gt;$E22,AD$5&lt;=$F22),IF(AD$5=$E22+1,$C22,""),"")</f>
        <v/>
      </c>
      <c r="AE22" s="34">
        <f>IF(AND(AE$5&gt;$E22,AE$5&lt;=$F22),IF(AE$5=$E22+1,$C22,""),"")</f>
        <v/>
      </c>
      <c r="AF22" s="34">
        <f>IF(AND(AF$5&gt;$E22,AF$5&lt;=$F22),IF(AF$5=$E22+1,$C22,""),"")</f>
        <v/>
      </c>
      <c r="AG22" s="34">
        <f>IF(AND(AG$5&gt;$E22,AG$5&lt;=$F22),IF(AG$5=$E22+1,$C22,""),"")</f>
        <v/>
      </c>
      <c r="AH22" s="34">
        <f>IF(AND(AH$5&gt;$E22,AH$5&lt;=$F22),IF(AH$5=$E22+1,$C22,""),"")</f>
        <v/>
      </c>
      <c r="AI22" s="34">
        <f>IF(AND(AI$5&gt;$E22,AI$5&lt;=$F22),IF(AI$5=$E22+1,$C22,""),"")</f>
        <v/>
      </c>
      <c r="AJ22" s="34">
        <f>IF(AND(AJ$5&gt;$E22,AJ$5&lt;=$F22),IF(AJ$5=$E22+1,$C22,""),"")</f>
        <v/>
      </c>
      <c r="AK22" s="34">
        <f>IF(AND(AK$5&gt;$E22,AK$5&lt;=$F22),IF(AK$5=$E22+1,$C22,""),"")</f>
        <v/>
      </c>
      <c r="AL22" s="34">
        <f>IF(AND(AL$5&gt;$E22,AL$5&lt;=$F22),IF(AL$5=$E22+1,$C22,""),"")</f>
        <v/>
      </c>
      <c r="AM22" s="34">
        <f>IF(AND(AM$5&gt;$E22,AM$5&lt;=$F22),IF(AM$5=$E22+1,$C22,""),"")</f>
        <v/>
      </c>
      <c r="AN22" s="34">
        <f>IF(AND(AN$5&gt;$E22,AN$5&lt;=$F22),IF(AN$5=$E22+1,$C22,""),"")</f>
        <v/>
      </c>
      <c r="AO22" s="34">
        <f>IF(AND(AO$5&gt;$E22,AO$5&lt;=$F22),IF(AO$5=$E22+1,$C22,""),"")</f>
        <v/>
      </c>
      <c r="AP22" s="34">
        <f>IF(AND(AP$5&gt;$E22,AP$5&lt;=$F22),IF(AP$5=$E22+1,$C22,""),"")</f>
        <v/>
      </c>
      <c r="AQ22" s="34">
        <f>IF(AND(AQ$5&gt;$E22,AQ$5&lt;=$F22),IF(AQ$5=$E22+1,$C22,""),"")</f>
        <v/>
      </c>
      <c r="AR22" s="34">
        <f>IF(AND(AR$5&gt;$E22,AR$5&lt;=$F22),IF(AR$5=$E22+1,$C22,""),"")</f>
        <v/>
      </c>
      <c r="AS22" s="34">
        <f>IF(AND(AS$5&gt;$E22,AS$5&lt;=$F22),IF(AS$5=$E22+1,$C22,""),"")</f>
        <v/>
      </c>
      <c r="AT22" s="34">
        <f>IF(AND(AT$5&gt;$E22,AT$5&lt;=$F22),IF(AT$5=$E22+1,$C22,""),"")</f>
        <v/>
      </c>
      <c r="AU22" s="34">
        <f>IF(AND(AU$5&gt;$E22,AU$5&lt;=$F22),IF(AU$5=$E22+1,$C22,""),"")</f>
        <v/>
      </c>
      <c r="AV22" s="34">
        <f>IF(AND(AV$5&gt;$E22,AV$5&lt;=$F22),IF(AV$5=$E22+1,$C22,""),"")</f>
        <v/>
      </c>
      <c r="AW22" s="34">
        <f>IF(AND(AW$5&gt;$E22,AW$5&lt;=$F22),IF(AW$5=$E22+1,$C22,""),"")</f>
        <v/>
      </c>
      <c r="AX22" s="34">
        <f>IF(AND(AX$5&gt;$E22,AX$5&lt;=$F22),IF(AX$5=$E22+1,$C22,""),"")</f>
        <v/>
      </c>
      <c r="AY22" s="34">
        <f>IF(AND(AY$5&gt;$E22,AY$5&lt;=$F22),IF(AY$5=$E22+1,$C22,""),"")</f>
        <v/>
      </c>
      <c r="AZ22" s="34">
        <f>IF(AND(AZ$5&gt;$E22,AZ$5&lt;=$F22),IF(AZ$5=$E22+1,$C22,""),"")</f>
        <v/>
      </c>
      <c r="BA22" s="34">
        <f>IF(AND(BA$5&gt;$E22,BA$5&lt;=$F22),IF(BA$5=$E22+1,$C22,""),"")</f>
        <v/>
      </c>
      <c r="BB22" s="34">
        <f>IF(AND(BB$5&gt;$E22,BB$5&lt;=$F22),IF(BB$5=$E22+1,$C22,""),"")</f>
        <v/>
      </c>
      <c r="BC22" s="34">
        <f>IF(AND(BC$5&gt;$E22,BC$5&lt;=$F22),IF(BC$5=$E22+1,$C22,""),"")</f>
        <v/>
      </c>
      <c r="BD22" s="34">
        <f>IF(AND(BD$5&gt;$E22,BD$5&lt;=$F22),IF(BD$5=$E22+1,$C22,""),"")</f>
        <v/>
      </c>
      <c r="BE22" s="34">
        <f>IF(AND(BE$5&gt;$E22,BE$5&lt;=$F22),IF(BE$5=$E22+1,$C22,""),"")</f>
        <v/>
      </c>
      <c r="BF22" s="34">
        <f>IF(AND(BF$5&gt;$E22,BF$5&lt;=$F22),IF(BF$5=$E22+1,$C22,""),"")</f>
        <v/>
      </c>
      <c r="BG22" s="34">
        <f>IF(AND(BG$5&gt;$E22,BG$5&lt;=$F22),IF(BG$5=$E22+1,$C22,""),"")</f>
        <v/>
      </c>
      <c r="BH22" s="34">
        <f>IF(AND(BH$5&gt;$E22,BH$5&lt;=$F22),IF(BH$5=$E22+1,$C22,""),"")</f>
        <v/>
      </c>
      <c r="BI22" s="34">
        <f>IF(AND(BI$5&gt;$E22,BI$5&lt;=$F22),IF(BI$5=$E22+1,$C22,""),"")</f>
        <v/>
      </c>
      <c r="BJ22" s="34">
        <f>IF(AND(BJ$5&gt;$E22,BJ$5&lt;=$F22),IF(BJ$5=$E22+1,$C22,""),"")</f>
        <v/>
      </c>
      <c r="BK22" s="34">
        <f>IF(AND(BK$5&gt;$E22,BK$5&lt;=$F22),IF(BK$5=$E22+1,$C22,""),"")</f>
        <v/>
      </c>
      <c r="BL22" s="34">
        <f>IF(AND(BL$5&gt;$E22,BL$5&lt;=$F22),IF(BL$5=$E22+1,$C22,""),"")</f>
        <v/>
      </c>
      <c r="BM22" s="34">
        <f>IF(AND(BM$5&gt;$E22,BM$5&lt;=$F22),IF(BM$5=$E22+1,$C22,""),"")</f>
        <v/>
      </c>
      <c r="BN22" s="34">
        <f>IF(AND(BN$5&gt;$E22,BN$5&lt;=$F22),IF(BN$5=$E22+1,$C22,""),"")</f>
        <v/>
      </c>
      <c r="BO22" s="34">
        <f>IF(AND(BO$5&gt;$E22,BO$5&lt;=$F22),IF(BO$5=$E22+1,$C22,""),"")</f>
        <v/>
      </c>
      <c r="BP22" s="34">
        <f>IF(AND(BP$5&gt;$E22,BP$5&lt;=$F22),IF(BP$5=$E22+1,$C22,""),"")</f>
        <v/>
      </c>
      <c r="BQ22" s="34">
        <f>IF(AND(BQ$5&gt;$E22,BQ$5&lt;=$F22),IF(BQ$5=$E22+1,$C22,""),"")</f>
        <v/>
      </c>
      <c r="BR22" s="34">
        <f>IF(AND(BR$5&gt;$E22,BR$5&lt;=$F22),IF(BR$5=$E22+1,$C22,""),"")</f>
        <v/>
      </c>
      <c r="BS22" s="34">
        <f>IF(AND(BS$5&gt;$E22,BS$5&lt;=$F22),IF(BS$5=$E22+1,$C22,""),"")</f>
        <v/>
      </c>
      <c r="BT22" s="34">
        <f>IF(AND(BT$5&gt;$E22,BT$5&lt;=$F22),IF(BT$5=$E22+1,$C22,""),"")</f>
        <v/>
      </c>
      <c r="BU22" s="34">
        <f>IF(AND(BU$5&gt;$E22,BU$5&lt;=$F22),IF(BU$5=$E22+1,$C22,""),"")</f>
        <v/>
      </c>
      <c r="BV22" s="34">
        <f>IF(AND(BV$5&gt;$E22,BV$5&lt;=$F22),IF(BV$5=$E22+1,$C22,""),"")</f>
        <v/>
      </c>
      <c r="BW22" s="34">
        <f>IF(AND(BW$5&gt;$E22,BW$5&lt;=$F22),IF(BW$5=$E22+1,$C22,""),"")</f>
        <v/>
      </c>
      <c r="BX22" s="34">
        <f>IF(AND(BX$5&gt;$E22,BX$5&lt;=$F22),IF(BX$5=$E22+1,$C22,""),"")</f>
        <v/>
      </c>
      <c r="BY22" s="34">
        <f>IF(AND(BY$5&gt;$E22,BY$5&lt;=$F22),IF(BY$5=$E22+1,$C22,""),"")</f>
        <v/>
      </c>
      <c r="BZ22" s="34">
        <f>IF(AND(BZ$5&gt;$E22,BZ$5&lt;=$F22),IF(BZ$5=$E22+1,$C22,""),"")</f>
        <v/>
      </c>
      <c r="CA22" s="34">
        <f>IF(AND(CA$5&gt;$E22,CA$5&lt;=$F22),IF(CA$5=$E22+1,$C22,""),"")</f>
        <v/>
      </c>
      <c r="CB22" s="34">
        <f>IF(AND(CB$5&gt;$E22,CB$5&lt;=$F22),IF(CB$5=$E22+1,$C22,""),"")</f>
        <v/>
      </c>
      <c r="CC22" s="34">
        <f>IF(AND(CC$5&gt;$E22,CC$5&lt;=$F22),IF(CC$5=$E22+1,$C22,""),"")</f>
        <v/>
      </c>
      <c r="CD22" s="34">
        <f>IF(AND(CD$5&gt;$E22,CD$5&lt;=$F22),IF(CD$5=$E22+1,$C22,""),"")</f>
        <v/>
      </c>
      <c r="CE22" s="34">
        <f>IF(AND(CE$5&gt;$E22,CE$5&lt;=$F22),IF(CE$5=$E22+1,$C22,""),"")</f>
        <v/>
      </c>
      <c r="CF22" s="34">
        <f>IF(AND(CF$5&gt;$E22,CF$5&lt;=$F22),IF(CF$5=$E22+1,$C22,""),"")</f>
        <v/>
      </c>
      <c r="CG22" s="34">
        <f>IF(AND(CG$5&gt;$E22,CG$5&lt;=$F22),IF(CG$5=$E22+1,$C22,""),"")</f>
        <v/>
      </c>
      <c r="CH22" s="34">
        <f>IF(AND(CH$5&gt;$E22,CH$5&lt;=$F22),IF(CH$5=$E22+1,$C22,""),"")</f>
        <v/>
      </c>
      <c r="CI22" s="34">
        <f>IF(AND(CI$5&gt;$E22,CI$5&lt;=$F22),IF(CI$5=$E22+1,$C22,""),"")</f>
        <v/>
      </c>
      <c r="CJ22" s="34">
        <f>IF(AND(CJ$5&gt;$E22,CJ$5&lt;=$F22),IF(CJ$5=$E22+1,$C22,""),"")</f>
        <v/>
      </c>
      <c r="CK22" s="34">
        <f>IF(AND(CK$5&gt;$E22,CK$5&lt;=$F22),IF(CK$5=$E22+1,$C22,""),"")</f>
        <v/>
      </c>
      <c r="CL22" s="34">
        <f>IF(AND(CL$5&gt;$E22,CL$5&lt;=$F22),IF(CL$5=$E22+1,$C22,""),"")</f>
        <v/>
      </c>
      <c r="CM22" s="34">
        <f>IF(AND(CM$5&gt;$E22,CM$5&lt;=$F22),IF(CM$5=$E22+1,$C22,""),"")</f>
        <v/>
      </c>
      <c r="CN22" s="34">
        <f>IF(AND(CN$5&gt;$E22,CN$5&lt;=$F22),IF(CN$5=$E22+1,$C22,""),"")</f>
        <v/>
      </c>
      <c r="CO22" s="34">
        <f>IF(AND(CO$5&gt;$E22,CO$5&lt;=$F22),IF(CO$5=$E22+1,$C22,""),"")</f>
        <v/>
      </c>
      <c r="CP22" s="34">
        <f>IF(AND(CP$5&gt;$E22,CP$5&lt;=$F22),IF(CP$5=$E22+1,$C22,""),"")</f>
        <v/>
      </c>
      <c r="CQ22" s="34">
        <f>IF(AND(CQ$5&gt;$E22,CQ$5&lt;=$F22),IF(CQ$5=$E22+1,$C22,""),"")</f>
        <v/>
      </c>
      <c r="CR22" s="34">
        <f>IF(AND(CR$5&gt;$E22,CR$5&lt;=$F22),IF(CR$5=$E22+1,$C22,""),"")</f>
        <v/>
      </c>
      <c r="CS22" s="34">
        <f>IF(AND(CS$5&gt;$E22,CS$5&lt;=$F22),IF(CS$5=$E22+1,$C22,""),"")</f>
        <v/>
      </c>
    </row>
    <row r="23">
      <c r="A23" s="32">
        <f>Plan!A17</f>
        <v/>
      </c>
      <c r="B23" s="33">
        <f>Plan!C17</f>
        <v/>
      </c>
      <c r="C23" s="16">
        <f>Plan!D17</f>
        <v/>
      </c>
      <c r="D23" s="16">
        <f>Plan!I17</f>
        <v/>
      </c>
      <c r="E23" s="16">
        <f>Plan!K17</f>
        <v/>
      </c>
      <c r="F23" s="16">
        <f>Plan!L17</f>
        <v/>
      </c>
      <c r="G23" s="16">
        <f>Plan!O17</f>
        <v/>
      </c>
      <c r="H23" s="34">
        <f>IF(AND(H$5&gt;$E23,H$5&lt;=$F23),IF(H$5=$E23+1,$C23,""),"")</f>
        <v/>
      </c>
      <c r="I23" s="34">
        <f>IF(AND(I$5&gt;$E23,I$5&lt;=$F23),IF(I$5=$E23+1,$C23,""),"")</f>
        <v/>
      </c>
      <c r="J23" s="34">
        <f>IF(AND(J$5&gt;$E23,J$5&lt;=$F23),IF(J$5=$E23+1,$C23,""),"")</f>
        <v/>
      </c>
      <c r="K23" s="34">
        <f>IF(AND(K$5&gt;$E23,K$5&lt;=$F23),IF(K$5=$E23+1,$C23,""),"")</f>
        <v/>
      </c>
      <c r="L23" s="34">
        <f>IF(AND(L$5&gt;$E23,L$5&lt;=$F23),IF(L$5=$E23+1,$C23,""),"")</f>
        <v/>
      </c>
      <c r="M23" s="34">
        <f>IF(AND(M$5&gt;$E23,M$5&lt;=$F23),IF(M$5=$E23+1,$C23,""),"")</f>
        <v/>
      </c>
      <c r="N23" s="34">
        <f>IF(AND(N$5&gt;$E23,N$5&lt;=$F23),IF(N$5=$E23+1,$C23,""),"")</f>
        <v/>
      </c>
      <c r="O23" s="34">
        <f>IF(AND(O$5&gt;$E23,O$5&lt;=$F23),IF(O$5=$E23+1,$C23,""),"")</f>
        <v/>
      </c>
      <c r="P23" s="34">
        <f>IF(AND(P$5&gt;$E23,P$5&lt;=$F23),IF(P$5=$E23+1,$C23,""),"")</f>
        <v/>
      </c>
      <c r="Q23" s="34">
        <f>IF(AND(Q$5&gt;$E23,Q$5&lt;=$F23),IF(Q$5=$E23+1,$C23,""),"")</f>
        <v/>
      </c>
      <c r="R23" s="34">
        <f>IF(AND(R$5&gt;$E23,R$5&lt;=$F23),IF(R$5=$E23+1,$C23,""),"")</f>
        <v/>
      </c>
      <c r="S23" s="34">
        <f>IF(AND(S$5&gt;$E23,S$5&lt;=$F23),IF(S$5=$E23+1,$C23,""),"")</f>
        <v/>
      </c>
      <c r="T23" s="34">
        <f>IF(AND(T$5&gt;$E23,T$5&lt;=$F23),IF(T$5=$E23+1,$C23,""),"")</f>
        <v/>
      </c>
      <c r="U23" s="34">
        <f>IF(AND(U$5&gt;$E23,U$5&lt;=$F23),IF(U$5=$E23+1,$C23,""),"")</f>
        <v/>
      </c>
      <c r="V23" s="34">
        <f>IF(AND(V$5&gt;$E23,V$5&lt;=$F23),IF(V$5=$E23+1,$C23,""),"")</f>
        <v/>
      </c>
      <c r="W23" s="34">
        <f>IF(AND(W$5&gt;$E23,W$5&lt;=$F23),IF(W$5=$E23+1,$C23,""),"")</f>
        <v/>
      </c>
      <c r="X23" s="34">
        <f>IF(AND(X$5&gt;$E23,X$5&lt;=$F23),IF(X$5=$E23+1,$C23,""),"")</f>
        <v/>
      </c>
      <c r="Y23" s="34">
        <f>IF(AND(Y$5&gt;$E23,Y$5&lt;=$F23),IF(Y$5=$E23+1,$C23,""),"")</f>
        <v/>
      </c>
      <c r="Z23" s="34">
        <f>IF(AND(Z$5&gt;$E23,Z$5&lt;=$F23),IF(Z$5=$E23+1,$C23,""),"")</f>
        <v/>
      </c>
      <c r="AA23" s="34">
        <f>IF(AND(AA$5&gt;$E23,AA$5&lt;=$F23),IF(AA$5=$E23+1,$C23,""),"")</f>
        <v/>
      </c>
      <c r="AB23" s="34">
        <f>IF(AND(AB$5&gt;$E23,AB$5&lt;=$F23),IF(AB$5=$E23+1,$C23,""),"")</f>
        <v/>
      </c>
      <c r="AC23" s="34">
        <f>IF(AND(AC$5&gt;$E23,AC$5&lt;=$F23),IF(AC$5=$E23+1,$C23,""),"")</f>
        <v/>
      </c>
      <c r="AD23" s="34">
        <f>IF(AND(AD$5&gt;$E23,AD$5&lt;=$F23),IF(AD$5=$E23+1,$C23,""),"")</f>
        <v/>
      </c>
      <c r="AE23" s="34">
        <f>IF(AND(AE$5&gt;$E23,AE$5&lt;=$F23),IF(AE$5=$E23+1,$C23,""),"")</f>
        <v/>
      </c>
      <c r="AF23" s="34">
        <f>IF(AND(AF$5&gt;$E23,AF$5&lt;=$F23),IF(AF$5=$E23+1,$C23,""),"")</f>
        <v/>
      </c>
      <c r="AG23" s="34">
        <f>IF(AND(AG$5&gt;$E23,AG$5&lt;=$F23),IF(AG$5=$E23+1,$C23,""),"")</f>
        <v/>
      </c>
      <c r="AH23" s="34">
        <f>IF(AND(AH$5&gt;$E23,AH$5&lt;=$F23),IF(AH$5=$E23+1,$C23,""),"")</f>
        <v/>
      </c>
      <c r="AI23" s="34">
        <f>IF(AND(AI$5&gt;$E23,AI$5&lt;=$F23),IF(AI$5=$E23+1,$C23,""),"")</f>
        <v/>
      </c>
      <c r="AJ23" s="34">
        <f>IF(AND(AJ$5&gt;$E23,AJ$5&lt;=$F23),IF(AJ$5=$E23+1,$C23,""),"")</f>
        <v/>
      </c>
      <c r="AK23" s="34">
        <f>IF(AND(AK$5&gt;$E23,AK$5&lt;=$F23),IF(AK$5=$E23+1,$C23,""),"")</f>
        <v/>
      </c>
      <c r="AL23" s="34">
        <f>IF(AND(AL$5&gt;$E23,AL$5&lt;=$F23),IF(AL$5=$E23+1,$C23,""),"")</f>
        <v/>
      </c>
      <c r="AM23" s="34">
        <f>IF(AND(AM$5&gt;$E23,AM$5&lt;=$F23),IF(AM$5=$E23+1,$C23,""),"")</f>
        <v/>
      </c>
      <c r="AN23" s="34">
        <f>IF(AND(AN$5&gt;$E23,AN$5&lt;=$F23),IF(AN$5=$E23+1,$C23,""),"")</f>
        <v/>
      </c>
      <c r="AO23" s="34">
        <f>IF(AND(AO$5&gt;$E23,AO$5&lt;=$F23),IF(AO$5=$E23+1,$C23,""),"")</f>
        <v/>
      </c>
      <c r="AP23" s="34">
        <f>IF(AND(AP$5&gt;$E23,AP$5&lt;=$F23),IF(AP$5=$E23+1,$C23,""),"")</f>
        <v/>
      </c>
      <c r="AQ23" s="34">
        <f>IF(AND(AQ$5&gt;$E23,AQ$5&lt;=$F23),IF(AQ$5=$E23+1,$C23,""),"")</f>
        <v/>
      </c>
      <c r="AR23" s="34">
        <f>IF(AND(AR$5&gt;$E23,AR$5&lt;=$F23),IF(AR$5=$E23+1,$C23,""),"")</f>
        <v/>
      </c>
      <c r="AS23" s="34">
        <f>IF(AND(AS$5&gt;$E23,AS$5&lt;=$F23),IF(AS$5=$E23+1,$C23,""),"")</f>
        <v/>
      </c>
      <c r="AT23" s="34">
        <f>IF(AND(AT$5&gt;$E23,AT$5&lt;=$F23),IF(AT$5=$E23+1,$C23,""),"")</f>
        <v/>
      </c>
      <c r="AU23" s="34">
        <f>IF(AND(AU$5&gt;$E23,AU$5&lt;=$F23),IF(AU$5=$E23+1,$C23,""),"")</f>
        <v/>
      </c>
      <c r="AV23" s="34">
        <f>IF(AND(AV$5&gt;$E23,AV$5&lt;=$F23),IF(AV$5=$E23+1,$C23,""),"")</f>
        <v/>
      </c>
      <c r="AW23" s="34">
        <f>IF(AND(AW$5&gt;$E23,AW$5&lt;=$F23),IF(AW$5=$E23+1,$C23,""),"")</f>
        <v/>
      </c>
      <c r="AX23" s="34">
        <f>IF(AND(AX$5&gt;$E23,AX$5&lt;=$F23),IF(AX$5=$E23+1,$C23,""),"")</f>
        <v/>
      </c>
      <c r="AY23" s="34">
        <f>IF(AND(AY$5&gt;$E23,AY$5&lt;=$F23),IF(AY$5=$E23+1,$C23,""),"")</f>
        <v/>
      </c>
      <c r="AZ23" s="34">
        <f>IF(AND(AZ$5&gt;$E23,AZ$5&lt;=$F23),IF(AZ$5=$E23+1,$C23,""),"")</f>
        <v/>
      </c>
      <c r="BA23" s="34">
        <f>IF(AND(BA$5&gt;$E23,BA$5&lt;=$F23),IF(BA$5=$E23+1,$C23,""),"")</f>
        <v/>
      </c>
      <c r="BB23" s="34">
        <f>IF(AND(BB$5&gt;$E23,BB$5&lt;=$F23),IF(BB$5=$E23+1,$C23,""),"")</f>
        <v/>
      </c>
      <c r="BC23" s="34">
        <f>IF(AND(BC$5&gt;$E23,BC$5&lt;=$F23),IF(BC$5=$E23+1,$C23,""),"")</f>
        <v/>
      </c>
      <c r="BD23" s="34">
        <f>IF(AND(BD$5&gt;$E23,BD$5&lt;=$F23),IF(BD$5=$E23+1,$C23,""),"")</f>
        <v/>
      </c>
      <c r="BE23" s="34">
        <f>IF(AND(BE$5&gt;$E23,BE$5&lt;=$F23),IF(BE$5=$E23+1,$C23,""),"")</f>
        <v/>
      </c>
      <c r="BF23" s="34">
        <f>IF(AND(BF$5&gt;$E23,BF$5&lt;=$F23),IF(BF$5=$E23+1,$C23,""),"")</f>
        <v/>
      </c>
      <c r="BG23" s="34">
        <f>IF(AND(BG$5&gt;$E23,BG$5&lt;=$F23),IF(BG$5=$E23+1,$C23,""),"")</f>
        <v/>
      </c>
      <c r="BH23" s="34">
        <f>IF(AND(BH$5&gt;$E23,BH$5&lt;=$F23),IF(BH$5=$E23+1,$C23,""),"")</f>
        <v/>
      </c>
      <c r="BI23" s="34">
        <f>IF(AND(BI$5&gt;$E23,BI$5&lt;=$F23),IF(BI$5=$E23+1,$C23,""),"")</f>
        <v/>
      </c>
      <c r="BJ23" s="34">
        <f>IF(AND(BJ$5&gt;$E23,BJ$5&lt;=$F23),IF(BJ$5=$E23+1,$C23,""),"")</f>
        <v/>
      </c>
      <c r="BK23" s="34">
        <f>IF(AND(BK$5&gt;$E23,BK$5&lt;=$F23),IF(BK$5=$E23+1,$C23,""),"")</f>
        <v/>
      </c>
      <c r="BL23" s="34">
        <f>IF(AND(BL$5&gt;$E23,BL$5&lt;=$F23),IF(BL$5=$E23+1,$C23,""),"")</f>
        <v/>
      </c>
      <c r="BM23" s="34">
        <f>IF(AND(BM$5&gt;$E23,BM$5&lt;=$F23),IF(BM$5=$E23+1,$C23,""),"")</f>
        <v/>
      </c>
      <c r="BN23" s="34">
        <f>IF(AND(BN$5&gt;$E23,BN$5&lt;=$F23),IF(BN$5=$E23+1,$C23,""),"")</f>
        <v/>
      </c>
      <c r="BO23" s="34">
        <f>IF(AND(BO$5&gt;$E23,BO$5&lt;=$F23),IF(BO$5=$E23+1,$C23,""),"")</f>
        <v/>
      </c>
      <c r="BP23" s="34">
        <f>IF(AND(BP$5&gt;$E23,BP$5&lt;=$F23),IF(BP$5=$E23+1,$C23,""),"")</f>
        <v/>
      </c>
      <c r="BQ23" s="34">
        <f>IF(AND(BQ$5&gt;$E23,BQ$5&lt;=$F23),IF(BQ$5=$E23+1,$C23,""),"")</f>
        <v/>
      </c>
      <c r="BR23" s="34">
        <f>IF(AND(BR$5&gt;$E23,BR$5&lt;=$F23),IF(BR$5=$E23+1,$C23,""),"")</f>
        <v/>
      </c>
      <c r="BS23" s="34">
        <f>IF(AND(BS$5&gt;$E23,BS$5&lt;=$F23),IF(BS$5=$E23+1,$C23,""),"")</f>
        <v/>
      </c>
      <c r="BT23" s="34">
        <f>IF(AND(BT$5&gt;$E23,BT$5&lt;=$F23),IF(BT$5=$E23+1,$C23,""),"")</f>
        <v/>
      </c>
      <c r="BU23" s="34">
        <f>IF(AND(BU$5&gt;$E23,BU$5&lt;=$F23),IF(BU$5=$E23+1,$C23,""),"")</f>
        <v/>
      </c>
      <c r="BV23" s="34">
        <f>IF(AND(BV$5&gt;$E23,BV$5&lt;=$F23),IF(BV$5=$E23+1,$C23,""),"")</f>
        <v/>
      </c>
      <c r="BW23" s="34">
        <f>IF(AND(BW$5&gt;$E23,BW$5&lt;=$F23),IF(BW$5=$E23+1,$C23,""),"")</f>
        <v/>
      </c>
      <c r="BX23" s="34">
        <f>IF(AND(BX$5&gt;$E23,BX$5&lt;=$F23),IF(BX$5=$E23+1,$C23,""),"")</f>
        <v/>
      </c>
      <c r="BY23" s="34">
        <f>IF(AND(BY$5&gt;$E23,BY$5&lt;=$F23),IF(BY$5=$E23+1,$C23,""),"")</f>
        <v/>
      </c>
      <c r="BZ23" s="34">
        <f>IF(AND(BZ$5&gt;$E23,BZ$5&lt;=$F23),IF(BZ$5=$E23+1,$C23,""),"")</f>
        <v/>
      </c>
      <c r="CA23" s="34">
        <f>IF(AND(CA$5&gt;$E23,CA$5&lt;=$F23),IF(CA$5=$E23+1,$C23,""),"")</f>
        <v/>
      </c>
      <c r="CB23" s="34">
        <f>IF(AND(CB$5&gt;$E23,CB$5&lt;=$F23),IF(CB$5=$E23+1,$C23,""),"")</f>
        <v/>
      </c>
      <c r="CC23" s="34">
        <f>IF(AND(CC$5&gt;$E23,CC$5&lt;=$F23),IF(CC$5=$E23+1,$C23,""),"")</f>
        <v/>
      </c>
      <c r="CD23" s="34">
        <f>IF(AND(CD$5&gt;$E23,CD$5&lt;=$F23),IF(CD$5=$E23+1,$C23,""),"")</f>
        <v/>
      </c>
      <c r="CE23" s="34">
        <f>IF(AND(CE$5&gt;$E23,CE$5&lt;=$F23),IF(CE$5=$E23+1,$C23,""),"")</f>
        <v/>
      </c>
      <c r="CF23" s="34">
        <f>IF(AND(CF$5&gt;$E23,CF$5&lt;=$F23),IF(CF$5=$E23+1,$C23,""),"")</f>
        <v/>
      </c>
      <c r="CG23" s="34">
        <f>IF(AND(CG$5&gt;$E23,CG$5&lt;=$F23),IF(CG$5=$E23+1,$C23,""),"")</f>
        <v/>
      </c>
      <c r="CH23" s="34">
        <f>IF(AND(CH$5&gt;$E23,CH$5&lt;=$F23),IF(CH$5=$E23+1,$C23,""),"")</f>
        <v/>
      </c>
      <c r="CI23" s="34">
        <f>IF(AND(CI$5&gt;$E23,CI$5&lt;=$F23),IF(CI$5=$E23+1,$C23,""),"")</f>
        <v/>
      </c>
      <c r="CJ23" s="34">
        <f>IF(AND(CJ$5&gt;$E23,CJ$5&lt;=$F23),IF(CJ$5=$E23+1,$C23,""),"")</f>
        <v/>
      </c>
      <c r="CK23" s="34">
        <f>IF(AND(CK$5&gt;$E23,CK$5&lt;=$F23),IF(CK$5=$E23+1,$C23,""),"")</f>
        <v/>
      </c>
      <c r="CL23" s="34">
        <f>IF(AND(CL$5&gt;$E23,CL$5&lt;=$F23),IF(CL$5=$E23+1,$C23,""),"")</f>
        <v/>
      </c>
      <c r="CM23" s="34">
        <f>IF(AND(CM$5&gt;$E23,CM$5&lt;=$F23),IF(CM$5=$E23+1,$C23,""),"")</f>
        <v/>
      </c>
      <c r="CN23" s="34">
        <f>IF(AND(CN$5&gt;$E23,CN$5&lt;=$F23),IF(CN$5=$E23+1,$C23,""),"")</f>
        <v/>
      </c>
      <c r="CO23" s="34">
        <f>IF(AND(CO$5&gt;$E23,CO$5&lt;=$F23),IF(CO$5=$E23+1,$C23,""),"")</f>
        <v/>
      </c>
      <c r="CP23" s="34">
        <f>IF(AND(CP$5&gt;$E23,CP$5&lt;=$F23),IF(CP$5=$E23+1,$C23,""),"")</f>
        <v/>
      </c>
      <c r="CQ23" s="34">
        <f>IF(AND(CQ$5&gt;$E23,CQ$5&lt;=$F23),IF(CQ$5=$E23+1,$C23,""),"")</f>
        <v/>
      </c>
      <c r="CR23" s="34">
        <f>IF(AND(CR$5&gt;$E23,CR$5&lt;=$F23),IF(CR$5=$E23+1,$C23,""),"")</f>
        <v/>
      </c>
      <c r="CS23" s="34">
        <f>IF(AND(CS$5&gt;$E23,CS$5&lt;=$F23),IF(CS$5=$E23+1,$C23,""),"")</f>
        <v/>
      </c>
    </row>
    <row r="24">
      <c r="A24" s="32">
        <f>Plan!A18</f>
        <v/>
      </c>
      <c r="B24" s="33">
        <f>Plan!C18</f>
        <v/>
      </c>
      <c r="C24" s="16">
        <f>Plan!D18</f>
        <v/>
      </c>
      <c r="D24" s="16">
        <f>Plan!I18</f>
        <v/>
      </c>
      <c r="E24" s="16">
        <f>Plan!K18</f>
        <v/>
      </c>
      <c r="F24" s="16">
        <f>Plan!L18</f>
        <v/>
      </c>
      <c r="G24" s="16">
        <f>Plan!O18</f>
        <v/>
      </c>
      <c r="H24" s="34">
        <f>IF(AND(H$5&gt;$E24,H$5&lt;=$F24),IF(H$5=$E24+1,$C24,""),"")</f>
        <v/>
      </c>
      <c r="I24" s="34">
        <f>IF(AND(I$5&gt;$E24,I$5&lt;=$F24),IF(I$5=$E24+1,$C24,""),"")</f>
        <v/>
      </c>
      <c r="J24" s="34">
        <f>IF(AND(J$5&gt;$E24,J$5&lt;=$F24),IF(J$5=$E24+1,$C24,""),"")</f>
        <v/>
      </c>
      <c r="K24" s="34">
        <f>IF(AND(K$5&gt;$E24,K$5&lt;=$F24),IF(K$5=$E24+1,$C24,""),"")</f>
        <v/>
      </c>
      <c r="L24" s="34">
        <f>IF(AND(L$5&gt;$E24,L$5&lt;=$F24),IF(L$5=$E24+1,$C24,""),"")</f>
        <v/>
      </c>
      <c r="M24" s="34">
        <f>IF(AND(M$5&gt;$E24,M$5&lt;=$F24),IF(M$5=$E24+1,$C24,""),"")</f>
        <v/>
      </c>
      <c r="N24" s="34">
        <f>IF(AND(N$5&gt;$E24,N$5&lt;=$F24),IF(N$5=$E24+1,$C24,""),"")</f>
        <v/>
      </c>
      <c r="O24" s="34">
        <f>IF(AND(O$5&gt;$E24,O$5&lt;=$F24),IF(O$5=$E24+1,$C24,""),"")</f>
        <v/>
      </c>
      <c r="P24" s="34">
        <f>IF(AND(P$5&gt;$E24,P$5&lt;=$F24),IF(P$5=$E24+1,$C24,""),"")</f>
        <v/>
      </c>
      <c r="Q24" s="34">
        <f>IF(AND(Q$5&gt;$E24,Q$5&lt;=$F24),IF(Q$5=$E24+1,$C24,""),"")</f>
        <v/>
      </c>
      <c r="R24" s="34">
        <f>IF(AND(R$5&gt;$E24,R$5&lt;=$F24),IF(R$5=$E24+1,$C24,""),"")</f>
        <v/>
      </c>
      <c r="S24" s="34">
        <f>IF(AND(S$5&gt;$E24,S$5&lt;=$F24),IF(S$5=$E24+1,$C24,""),"")</f>
        <v/>
      </c>
      <c r="T24" s="34">
        <f>IF(AND(T$5&gt;$E24,T$5&lt;=$F24),IF(T$5=$E24+1,$C24,""),"")</f>
        <v/>
      </c>
      <c r="U24" s="34">
        <f>IF(AND(U$5&gt;$E24,U$5&lt;=$F24),IF(U$5=$E24+1,$C24,""),"")</f>
        <v/>
      </c>
      <c r="V24" s="34">
        <f>IF(AND(V$5&gt;$E24,V$5&lt;=$F24),IF(V$5=$E24+1,$C24,""),"")</f>
        <v/>
      </c>
      <c r="W24" s="34">
        <f>IF(AND(W$5&gt;$E24,W$5&lt;=$F24),IF(W$5=$E24+1,$C24,""),"")</f>
        <v/>
      </c>
      <c r="X24" s="34">
        <f>IF(AND(X$5&gt;$E24,X$5&lt;=$F24),IF(X$5=$E24+1,$C24,""),"")</f>
        <v/>
      </c>
      <c r="Y24" s="34">
        <f>IF(AND(Y$5&gt;$E24,Y$5&lt;=$F24),IF(Y$5=$E24+1,$C24,""),"")</f>
        <v/>
      </c>
      <c r="Z24" s="34">
        <f>IF(AND(Z$5&gt;$E24,Z$5&lt;=$F24),IF(Z$5=$E24+1,$C24,""),"")</f>
        <v/>
      </c>
      <c r="AA24" s="34">
        <f>IF(AND(AA$5&gt;$E24,AA$5&lt;=$F24),IF(AA$5=$E24+1,$C24,""),"")</f>
        <v/>
      </c>
      <c r="AB24" s="34">
        <f>IF(AND(AB$5&gt;$E24,AB$5&lt;=$F24),IF(AB$5=$E24+1,$C24,""),"")</f>
        <v/>
      </c>
      <c r="AC24" s="34">
        <f>IF(AND(AC$5&gt;$E24,AC$5&lt;=$F24),IF(AC$5=$E24+1,$C24,""),"")</f>
        <v/>
      </c>
      <c r="AD24" s="34">
        <f>IF(AND(AD$5&gt;$E24,AD$5&lt;=$F24),IF(AD$5=$E24+1,$C24,""),"")</f>
        <v/>
      </c>
      <c r="AE24" s="34">
        <f>IF(AND(AE$5&gt;$E24,AE$5&lt;=$F24),IF(AE$5=$E24+1,$C24,""),"")</f>
        <v/>
      </c>
      <c r="AF24" s="34">
        <f>IF(AND(AF$5&gt;$E24,AF$5&lt;=$F24),IF(AF$5=$E24+1,$C24,""),"")</f>
        <v/>
      </c>
      <c r="AG24" s="34">
        <f>IF(AND(AG$5&gt;$E24,AG$5&lt;=$F24),IF(AG$5=$E24+1,$C24,""),"")</f>
        <v/>
      </c>
      <c r="AH24" s="34">
        <f>IF(AND(AH$5&gt;$E24,AH$5&lt;=$F24),IF(AH$5=$E24+1,$C24,""),"")</f>
        <v/>
      </c>
      <c r="AI24" s="34">
        <f>IF(AND(AI$5&gt;$E24,AI$5&lt;=$F24),IF(AI$5=$E24+1,$C24,""),"")</f>
        <v/>
      </c>
      <c r="AJ24" s="34">
        <f>IF(AND(AJ$5&gt;$E24,AJ$5&lt;=$F24),IF(AJ$5=$E24+1,$C24,""),"")</f>
        <v/>
      </c>
      <c r="AK24" s="34">
        <f>IF(AND(AK$5&gt;$E24,AK$5&lt;=$F24),IF(AK$5=$E24+1,$C24,""),"")</f>
        <v/>
      </c>
      <c r="AL24" s="34">
        <f>IF(AND(AL$5&gt;$E24,AL$5&lt;=$F24),IF(AL$5=$E24+1,$C24,""),"")</f>
        <v/>
      </c>
      <c r="AM24" s="34">
        <f>IF(AND(AM$5&gt;$E24,AM$5&lt;=$F24),IF(AM$5=$E24+1,$C24,""),"")</f>
        <v/>
      </c>
      <c r="AN24" s="34">
        <f>IF(AND(AN$5&gt;$E24,AN$5&lt;=$F24),IF(AN$5=$E24+1,$C24,""),"")</f>
        <v/>
      </c>
      <c r="AO24" s="34">
        <f>IF(AND(AO$5&gt;$E24,AO$5&lt;=$F24),IF(AO$5=$E24+1,$C24,""),"")</f>
        <v/>
      </c>
      <c r="AP24" s="34">
        <f>IF(AND(AP$5&gt;$E24,AP$5&lt;=$F24),IF(AP$5=$E24+1,$C24,""),"")</f>
        <v/>
      </c>
      <c r="AQ24" s="34">
        <f>IF(AND(AQ$5&gt;$E24,AQ$5&lt;=$F24),IF(AQ$5=$E24+1,$C24,""),"")</f>
        <v/>
      </c>
      <c r="AR24" s="34">
        <f>IF(AND(AR$5&gt;$E24,AR$5&lt;=$F24),IF(AR$5=$E24+1,$C24,""),"")</f>
        <v/>
      </c>
      <c r="AS24" s="34">
        <f>IF(AND(AS$5&gt;$E24,AS$5&lt;=$F24),IF(AS$5=$E24+1,$C24,""),"")</f>
        <v/>
      </c>
      <c r="AT24" s="34">
        <f>IF(AND(AT$5&gt;$E24,AT$5&lt;=$F24),IF(AT$5=$E24+1,$C24,""),"")</f>
        <v/>
      </c>
      <c r="AU24" s="34">
        <f>IF(AND(AU$5&gt;$E24,AU$5&lt;=$F24),IF(AU$5=$E24+1,$C24,""),"")</f>
        <v/>
      </c>
      <c r="AV24" s="34">
        <f>IF(AND(AV$5&gt;$E24,AV$5&lt;=$F24),IF(AV$5=$E24+1,$C24,""),"")</f>
        <v/>
      </c>
      <c r="AW24" s="34">
        <f>IF(AND(AW$5&gt;$E24,AW$5&lt;=$F24),IF(AW$5=$E24+1,$C24,""),"")</f>
        <v/>
      </c>
      <c r="AX24" s="34">
        <f>IF(AND(AX$5&gt;$E24,AX$5&lt;=$F24),IF(AX$5=$E24+1,$C24,""),"")</f>
        <v/>
      </c>
      <c r="AY24" s="34">
        <f>IF(AND(AY$5&gt;$E24,AY$5&lt;=$F24),IF(AY$5=$E24+1,$C24,""),"")</f>
        <v/>
      </c>
      <c r="AZ24" s="34">
        <f>IF(AND(AZ$5&gt;$E24,AZ$5&lt;=$F24),IF(AZ$5=$E24+1,$C24,""),"")</f>
        <v/>
      </c>
      <c r="BA24" s="34">
        <f>IF(AND(BA$5&gt;$E24,BA$5&lt;=$F24),IF(BA$5=$E24+1,$C24,""),"")</f>
        <v/>
      </c>
      <c r="BB24" s="34">
        <f>IF(AND(BB$5&gt;$E24,BB$5&lt;=$F24),IF(BB$5=$E24+1,$C24,""),"")</f>
        <v/>
      </c>
      <c r="BC24" s="34">
        <f>IF(AND(BC$5&gt;$E24,BC$5&lt;=$F24),IF(BC$5=$E24+1,$C24,""),"")</f>
        <v/>
      </c>
      <c r="BD24" s="34">
        <f>IF(AND(BD$5&gt;$E24,BD$5&lt;=$F24),IF(BD$5=$E24+1,$C24,""),"")</f>
        <v/>
      </c>
      <c r="BE24" s="34">
        <f>IF(AND(BE$5&gt;$E24,BE$5&lt;=$F24),IF(BE$5=$E24+1,$C24,""),"")</f>
        <v/>
      </c>
      <c r="BF24" s="34">
        <f>IF(AND(BF$5&gt;$E24,BF$5&lt;=$F24),IF(BF$5=$E24+1,$C24,""),"")</f>
        <v/>
      </c>
      <c r="BG24" s="34">
        <f>IF(AND(BG$5&gt;$E24,BG$5&lt;=$F24),IF(BG$5=$E24+1,$C24,""),"")</f>
        <v/>
      </c>
      <c r="BH24" s="34">
        <f>IF(AND(BH$5&gt;$E24,BH$5&lt;=$F24),IF(BH$5=$E24+1,$C24,""),"")</f>
        <v/>
      </c>
      <c r="BI24" s="34">
        <f>IF(AND(BI$5&gt;$E24,BI$5&lt;=$F24),IF(BI$5=$E24+1,$C24,""),"")</f>
        <v/>
      </c>
      <c r="BJ24" s="34">
        <f>IF(AND(BJ$5&gt;$E24,BJ$5&lt;=$F24),IF(BJ$5=$E24+1,$C24,""),"")</f>
        <v/>
      </c>
      <c r="BK24" s="34">
        <f>IF(AND(BK$5&gt;$E24,BK$5&lt;=$F24),IF(BK$5=$E24+1,$C24,""),"")</f>
        <v/>
      </c>
      <c r="BL24" s="34">
        <f>IF(AND(BL$5&gt;$E24,BL$5&lt;=$F24),IF(BL$5=$E24+1,$C24,""),"")</f>
        <v/>
      </c>
      <c r="BM24" s="34">
        <f>IF(AND(BM$5&gt;$E24,BM$5&lt;=$F24),IF(BM$5=$E24+1,$C24,""),"")</f>
        <v/>
      </c>
      <c r="BN24" s="34">
        <f>IF(AND(BN$5&gt;$E24,BN$5&lt;=$F24),IF(BN$5=$E24+1,$C24,""),"")</f>
        <v/>
      </c>
      <c r="BO24" s="34">
        <f>IF(AND(BO$5&gt;$E24,BO$5&lt;=$F24),IF(BO$5=$E24+1,$C24,""),"")</f>
        <v/>
      </c>
      <c r="BP24" s="34">
        <f>IF(AND(BP$5&gt;$E24,BP$5&lt;=$F24),IF(BP$5=$E24+1,$C24,""),"")</f>
        <v/>
      </c>
      <c r="BQ24" s="34">
        <f>IF(AND(BQ$5&gt;$E24,BQ$5&lt;=$F24),IF(BQ$5=$E24+1,$C24,""),"")</f>
        <v/>
      </c>
      <c r="BR24" s="34">
        <f>IF(AND(BR$5&gt;$E24,BR$5&lt;=$F24),IF(BR$5=$E24+1,$C24,""),"")</f>
        <v/>
      </c>
      <c r="BS24" s="34">
        <f>IF(AND(BS$5&gt;$E24,BS$5&lt;=$F24),IF(BS$5=$E24+1,$C24,""),"")</f>
        <v/>
      </c>
      <c r="BT24" s="34">
        <f>IF(AND(BT$5&gt;$E24,BT$5&lt;=$F24),IF(BT$5=$E24+1,$C24,""),"")</f>
        <v/>
      </c>
      <c r="BU24" s="34">
        <f>IF(AND(BU$5&gt;$E24,BU$5&lt;=$F24),IF(BU$5=$E24+1,$C24,""),"")</f>
        <v/>
      </c>
      <c r="BV24" s="34">
        <f>IF(AND(BV$5&gt;$E24,BV$5&lt;=$F24),IF(BV$5=$E24+1,$C24,""),"")</f>
        <v/>
      </c>
      <c r="BW24" s="34">
        <f>IF(AND(BW$5&gt;$E24,BW$5&lt;=$F24),IF(BW$5=$E24+1,$C24,""),"")</f>
        <v/>
      </c>
      <c r="BX24" s="34">
        <f>IF(AND(BX$5&gt;$E24,BX$5&lt;=$F24),IF(BX$5=$E24+1,$C24,""),"")</f>
        <v/>
      </c>
      <c r="BY24" s="34">
        <f>IF(AND(BY$5&gt;$E24,BY$5&lt;=$F24),IF(BY$5=$E24+1,$C24,""),"")</f>
        <v/>
      </c>
      <c r="BZ24" s="34">
        <f>IF(AND(BZ$5&gt;$E24,BZ$5&lt;=$F24),IF(BZ$5=$E24+1,$C24,""),"")</f>
        <v/>
      </c>
      <c r="CA24" s="34">
        <f>IF(AND(CA$5&gt;$E24,CA$5&lt;=$F24),IF(CA$5=$E24+1,$C24,""),"")</f>
        <v/>
      </c>
      <c r="CB24" s="34">
        <f>IF(AND(CB$5&gt;$E24,CB$5&lt;=$F24),IF(CB$5=$E24+1,$C24,""),"")</f>
        <v/>
      </c>
      <c r="CC24" s="34">
        <f>IF(AND(CC$5&gt;$E24,CC$5&lt;=$F24),IF(CC$5=$E24+1,$C24,""),"")</f>
        <v/>
      </c>
      <c r="CD24" s="34">
        <f>IF(AND(CD$5&gt;$E24,CD$5&lt;=$F24),IF(CD$5=$E24+1,$C24,""),"")</f>
        <v/>
      </c>
      <c r="CE24" s="34">
        <f>IF(AND(CE$5&gt;$E24,CE$5&lt;=$F24),IF(CE$5=$E24+1,$C24,""),"")</f>
        <v/>
      </c>
      <c r="CF24" s="34">
        <f>IF(AND(CF$5&gt;$E24,CF$5&lt;=$F24),IF(CF$5=$E24+1,$C24,""),"")</f>
        <v/>
      </c>
      <c r="CG24" s="34">
        <f>IF(AND(CG$5&gt;$E24,CG$5&lt;=$F24),IF(CG$5=$E24+1,$C24,""),"")</f>
        <v/>
      </c>
      <c r="CH24" s="34">
        <f>IF(AND(CH$5&gt;$E24,CH$5&lt;=$F24),IF(CH$5=$E24+1,$C24,""),"")</f>
        <v/>
      </c>
      <c r="CI24" s="34">
        <f>IF(AND(CI$5&gt;$E24,CI$5&lt;=$F24),IF(CI$5=$E24+1,$C24,""),"")</f>
        <v/>
      </c>
      <c r="CJ24" s="34">
        <f>IF(AND(CJ$5&gt;$E24,CJ$5&lt;=$F24),IF(CJ$5=$E24+1,$C24,""),"")</f>
        <v/>
      </c>
      <c r="CK24" s="34">
        <f>IF(AND(CK$5&gt;$E24,CK$5&lt;=$F24),IF(CK$5=$E24+1,$C24,""),"")</f>
        <v/>
      </c>
      <c r="CL24" s="34">
        <f>IF(AND(CL$5&gt;$E24,CL$5&lt;=$F24),IF(CL$5=$E24+1,$C24,""),"")</f>
        <v/>
      </c>
      <c r="CM24" s="34">
        <f>IF(AND(CM$5&gt;$E24,CM$5&lt;=$F24),IF(CM$5=$E24+1,$C24,""),"")</f>
        <v/>
      </c>
      <c r="CN24" s="34">
        <f>IF(AND(CN$5&gt;$E24,CN$5&lt;=$F24),IF(CN$5=$E24+1,$C24,""),"")</f>
        <v/>
      </c>
      <c r="CO24" s="34">
        <f>IF(AND(CO$5&gt;$E24,CO$5&lt;=$F24),IF(CO$5=$E24+1,$C24,""),"")</f>
        <v/>
      </c>
      <c r="CP24" s="34">
        <f>IF(AND(CP$5&gt;$E24,CP$5&lt;=$F24),IF(CP$5=$E24+1,$C24,""),"")</f>
        <v/>
      </c>
      <c r="CQ24" s="34">
        <f>IF(AND(CQ$5&gt;$E24,CQ$5&lt;=$F24),IF(CQ$5=$E24+1,$C24,""),"")</f>
        <v/>
      </c>
      <c r="CR24" s="34">
        <f>IF(AND(CR$5&gt;$E24,CR$5&lt;=$F24),IF(CR$5=$E24+1,$C24,""),"")</f>
        <v/>
      </c>
      <c r="CS24" s="34">
        <f>IF(AND(CS$5&gt;$E24,CS$5&lt;=$F24),IF(CS$5=$E24+1,$C24,""),"")</f>
        <v/>
      </c>
    </row>
    <row r="25">
      <c r="A25" s="32">
        <f>Plan!A19</f>
        <v/>
      </c>
      <c r="B25" s="33">
        <f>Plan!C19</f>
        <v/>
      </c>
      <c r="C25" s="16">
        <f>Plan!D19</f>
        <v/>
      </c>
      <c r="D25" s="16">
        <f>Plan!I19</f>
        <v/>
      </c>
      <c r="E25" s="16">
        <f>Plan!K19</f>
        <v/>
      </c>
      <c r="F25" s="16">
        <f>Plan!L19</f>
        <v/>
      </c>
      <c r="G25" s="16">
        <f>Plan!O19</f>
        <v/>
      </c>
      <c r="H25" s="34">
        <f>IF(AND(H$5&gt;$E25,H$5&lt;=$F25),IF(H$5=$E25+1,$C25,""),"")</f>
        <v/>
      </c>
      <c r="I25" s="34">
        <f>IF(AND(I$5&gt;$E25,I$5&lt;=$F25),IF(I$5=$E25+1,$C25,""),"")</f>
        <v/>
      </c>
      <c r="J25" s="34">
        <f>IF(AND(J$5&gt;$E25,J$5&lt;=$F25),IF(J$5=$E25+1,$C25,""),"")</f>
        <v/>
      </c>
      <c r="K25" s="34">
        <f>IF(AND(K$5&gt;$E25,K$5&lt;=$F25),IF(K$5=$E25+1,$C25,""),"")</f>
        <v/>
      </c>
      <c r="L25" s="34">
        <f>IF(AND(L$5&gt;$E25,L$5&lt;=$F25),IF(L$5=$E25+1,$C25,""),"")</f>
        <v/>
      </c>
      <c r="M25" s="34">
        <f>IF(AND(M$5&gt;$E25,M$5&lt;=$F25),IF(M$5=$E25+1,$C25,""),"")</f>
        <v/>
      </c>
      <c r="N25" s="34">
        <f>IF(AND(N$5&gt;$E25,N$5&lt;=$F25),IF(N$5=$E25+1,$C25,""),"")</f>
        <v/>
      </c>
      <c r="O25" s="34">
        <f>IF(AND(O$5&gt;$E25,O$5&lt;=$F25),IF(O$5=$E25+1,$C25,""),"")</f>
        <v/>
      </c>
      <c r="P25" s="34">
        <f>IF(AND(P$5&gt;$E25,P$5&lt;=$F25),IF(P$5=$E25+1,$C25,""),"")</f>
        <v/>
      </c>
      <c r="Q25" s="34">
        <f>IF(AND(Q$5&gt;$E25,Q$5&lt;=$F25),IF(Q$5=$E25+1,$C25,""),"")</f>
        <v/>
      </c>
      <c r="R25" s="34">
        <f>IF(AND(R$5&gt;$E25,R$5&lt;=$F25),IF(R$5=$E25+1,$C25,""),"")</f>
        <v/>
      </c>
      <c r="S25" s="34">
        <f>IF(AND(S$5&gt;$E25,S$5&lt;=$F25),IF(S$5=$E25+1,$C25,""),"")</f>
        <v/>
      </c>
      <c r="T25" s="34">
        <f>IF(AND(T$5&gt;$E25,T$5&lt;=$F25),IF(T$5=$E25+1,$C25,""),"")</f>
        <v/>
      </c>
      <c r="U25" s="34">
        <f>IF(AND(U$5&gt;$E25,U$5&lt;=$F25),IF(U$5=$E25+1,$C25,""),"")</f>
        <v/>
      </c>
      <c r="V25" s="34">
        <f>IF(AND(V$5&gt;$E25,V$5&lt;=$F25),IF(V$5=$E25+1,$C25,""),"")</f>
        <v/>
      </c>
      <c r="W25" s="34">
        <f>IF(AND(W$5&gt;$E25,W$5&lt;=$F25),IF(W$5=$E25+1,$C25,""),"")</f>
        <v/>
      </c>
      <c r="X25" s="34">
        <f>IF(AND(X$5&gt;$E25,X$5&lt;=$F25),IF(X$5=$E25+1,$C25,""),"")</f>
        <v/>
      </c>
      <c r="Y25" s="34">
        <f>IF(AND(Y$5&gt;$E25,Y$5&lt;=$F25),IF(Y$5=$E25+1,$C25,""),"")</f>
        <v/>
      </c>
      <c r="Z25" s="34">
        <f>IF(AND(Z$5&gt;$E25,Z$5&lt;=$F25),IF(Z$5=$E25+1,$C25,""),"")</f>
        <v/>
      </c>
      <c r="AA25" s="34">
        <f>IF(AND(AA$5&gt;$E25,AA$5&lt;=$F25),IF(AA$5=$E25+1,$C25,""),"")</f>
        <v/>
      </c>
      <c r="AB25" s="34">
        <f>IF(AND(AB$5&gt;$E25,AB$5&lt;=$F25),IF(AB$5=$E25+1,$C25,""),"")</f>
        <v/>
      </c>
      <c r="AC25" s="34">
        <f>IF(AND(AC$5&gt;$E25,AC$5&lt;=$F25),IF(AC$5=$E25+1,$C25,""),"")</f>
        <v/>
      </c>
      <c r="AD25" s="34">
        <f>IF(AND(AD$5&gt;$E25,AD$5&lt;=$F25),IF(AD$5=$E25+1,$C25,""),"")</f>
        <v/>
      </c>
      <c r="AE25" s="34">
        <f>IF(AND(AE$5&gt;$E25,AE$5&lt;=$F25),IF(AE$5=$E25+1,$C25,""),"")</f>
        <v/>
      </c>
      <c r="AF25" s="34">
        <f>IF(AND(AF$5&gt;$E25,AF$5&lt;=$F25),IF(AF$5=$E25+1,$C25,""),"")</f>
        <v/>
      </c>
      <c r="AG25" s="34">
        <f>IF(AND(AG$5&gt;$E25,AG$5&lt;=$F25),IF(AG$5=$E25+1,$C25,""),"")</f>
        <v/>
      </c>
      <c r="AH25" s="34">
        <f>IF(AND(AH$5&gt;$E25,AH$5&lt;=$F25),IF(AH$5=$E25+1,$C25,""),"")</f>
        <v/>
      </c>
      <c r="AI25" s="34">
        <f>IF(AND(AI$5&gt;$E25,AI$5&lt;=$F25),IF(AI$5=$E25+1,$C25,""),"")</f>
        <v/>
      </c>
      <c r="AJ25" s="34">
        <f>IF(AND(AJ$5&gt;$E25,AJ$5&lt;=$F25),IF(AJ$5=$E25+1,$C25,""),"")</f>
        <v/>
      </c>
      <c r="AK25" s="34">
        <f>IF(AND(AK$5&gt;$E25,AK$5&lt;=$F25),IF(AK$5=$E25+1,$C25,""),"")</f>
        <v/>
      </c>
      <c r="AL25" s="34">
        <f>IF(AND(AL$5&gt;$E25,AL$5&lt;=$F25),IF(AL$5=$E25+1,$C25,""),"")</f>
        <v/>
      </c>
      <c r="AM25" s="34">
        <f>IF(AND(AM$5&gt;$E25,AM$5&lt;=$F25),IF(AM$5=$E25+1,$C25,""),"")</f>
        <v/>
      </c>
      <c r="AN25" s="34">
        <f>IF(AND(AN$5&gt;$E25,AN$5&lt;=$F25),IF(AN$5=$E25+1,$C25,""),"")</f>
        <v/>
      </c>
      <c r="AO25" s="34">
        <f>IF(AND(AO$5&gt;$E25,AO$5&lt;=$F25),IF(AO$5=$E25+1,$C25,""),"")</f>
        <v/>
      </c>
      <c r="AP25" s="34">
        <f>IF(AND(AP$5&gt;$E25,AP$5&lt;=$F25),IF(AP$5=$E25+1,$C25,""),"")</f>
        <v/>
      </c>
      <c r="AQ25" s="34">
        <f>IF(AND(AQ$5&gt;$E25,AQ$5&lt;=$F25),IF(AQ$5=$E25+1,$C25,""),"")</f>
        <v/>
      </c>
      <c r="AR25" s="34">
        <f>IF(AND(AR$5&gt;$E25,AR$5&lt;=$F25),IF(AR$5=$E25+1,$C25,""),"")</f>
        <v/>
      </c>
      <c r="AS25" s="34">
        <f>IF(AND(AS$5&gt;$E25,AS$5&lt;=$F25),IF(AS$5=$E25+1,$C25,""),"")</f>
        <v/>
      </c>
      <c r="AT25" s="34">
        <f>IF(AND(AT$5&gt;$E25,AT$5&lt;=$F25),IF(AT$5=$E25+1,$C25,""),"")</f>
        <v/>
      </c>
      <c r="AU25" s="34">
        <f>IF(AND(AU$5&gt;$E25,AU$5&lt;=$F25),IF(AU$5=$E25+1,$C25,""),"")</f>
        <v/>
      </c>
      <c r="AV25" s="34">
        <f>IF(AND(AV$5&gt;$E25,AV$5&lt;=$F25),IF(AV$5=$E25+1,$C25,""),"")</f>
        <v/>
      </c>
      <c r="AW25" s="34">
        <f>IF(AND(AW$5&gt;$E25,AW$5&lt;=$F25),IF(AW$5=$E25+1,$C25,""),"")</f>
        <v/>
      </c>
      <c r="AX25" s="34">
        <f>IF(AND(AX$5&gt;$E25,AX$5&lt;=$F25),IF(AX$5=$E25+1,$C25,""),"")</f>
        <v/>
      </c>
      <c r="AY25" s="34">
        <f>IF(AND(AY$5&gt;$E25,AY$5&lt;=$F25),IF(AY$5=$E25+1,$C25,""),"")</f>
        <v/>
      </c>
      <c r="AZ25" s="34">
        <f>IF(AND(AZ$5&gt;$E25,AZ$5&lt;=$F25),IF(AZ$5=$E25+1,$C25,""),"")</f>
        <v/>
      </c>
      <c r="BA25" s="34">
        <f>IF(AND(BA$5&gt;$E25,BA$5&lt;=$F25),IF(BA$5=$E25+1,$C25,""),"")</f>
        <v/>
      </c>
      <c r="BB25" s="34">
        <f>IF(AND(BB$5&gt;$E25,BB$5&lt;=$F25),IF(BB$5=$E25+1,$C25,""),"")</f>
        <v/>
      </c>
      <c r="BC25" s="34">
        <f>IF(AND(BC$5&gt;$E25,BC$5&lt;=$F25),IF(BC$5=$E25+1,$C25,""),"")</f>
        <v/>
      </c>
      <c r="BD25" s="34">
        <f>IF(AND(BD$5&gt;$E25,BD$5&lt;=$F25),IF(BD$5=$E25+1,$C25,""),"")</f>
        <v/>
      </c>
      <c r="BE25" s="34">
        <f>IF(AND(BE$5&gt;$E25,BE$5&lt;=$F25),IF(BE$5=$E25+1,$C25,""),"")</f>
        <v/>
      </c>
      <c r="BF25" s="34">
        <f>IF(AND(BF$5&gt;$E25,BF$5&lt;=$F25),IF(BF$5=$E25+1,$C25,""),"")</f>
        <v/>
      </c>
      <c r="BG25" s="34">
        <f>IF(AND(BG$5&gt;$E25,BG$5&lt;=$F25),IF(BG$5=$E25+1,$C25,""),"")</f>
        <v/>
      </c>
      <c r="BH25" s="34">
        <f>IF(AND(BH$5&gt;$E25,BH$5&lt;=$F25),IF(BH$5=$E25+1,$C25,""),"")</f>
        <v/>
      </c>
      <c r="BI25" s="34">
        <f>IF(AND(BI$5&gt;$E25,BI$5&lt;=$F25),IF(BI$5=$E25+1,$C25,""),"")</f>
        <v/>
      </c>
      <c r="BJ25" s="34">
        <f>IF(AND(BJ$5&gt;$E25,BJ$5&lt;=$F25),IF(BJ$5=$E25+1,$C25,""),"")</f>
        <v/>
      </c>
      <c r="BK25" s="34">
        <f>IF(AND(BK$5&gt;$E25,BK$5&lt;=$F25),IF(BK$5=$E25+1,$C25,""),"")</f>
        <v/>
      </c>
      <c r="BL25" s="34">
        <f>IF(AND(BL$5&gt;$E25,BL$5&lt;=$F25),IF(BL$5=$E25+1,$C25,""),"")</f>
        <v/>
      </c>
      <c r="BM25" s="34">
        <f>IF(AND(BM$5&gt;$E25,BM$5&lt;=$F25),IF(BM$5=$E25+1,$C25,""),"")</f>
        <v/>
      </c>
      <c r="BN25" s="34">
        <f>IF(AND(BN$5&gt;$E25,BN$5&lt;=$F25),IF(BN$5=$E25+1,$C25,""),"")</f>
        <v/>
      </c>
      <c r="BO25" s="34">
        <f>IF(AND(BO$5&gt;$E25,BO$5&lt;=$F25),IF(BO$5=$E25+1,$C25,""),"")</f>
        <v/>
      </c>
      <c r="BP25" s="34">
        <f>IF(AND(BP$5&gt;$E25,BP$5&lt;=$F25),IF(BP$5=$E25+1,$C25,""),"")</f>
        <v/>
      </c>
      <c r="BQ25" s="34">
        <f>IF(AND(BQ$5&gt;$E25,BQ$5&lt;=$F25),IF(BQ$5=$E25+1,$C25,""),"")</f>
        <v/>
      </c>
      <c r="BR25" s="34">
        <f>IF(AND(BR$5&gt;$E25,BR$5&lt;=$F25),IF(BR$5=$E25+1,$C25,""),"")</f>
        <v/>
      </c>
      <c r="BS25" s="34">
        <f>IF(AND(BS$5&gt;$E25,BS$5&lt;=$F25),IF(BS$5=$E25+1,$C25,""),"")</f>
        <v/>
      </c>
      <c r="BT25" s="34">
        <f>IF(AND(BT$5&gt;$E25,BT$5&lt;=$F25),IF(BT$5=$E25+1,$C25,""),"")</f>
        <v/>
      </c>
      <c r="BU25" s="34">
        <f>IF(AND(BU$5&gt;$E25,BU$5&lt;=$F25),IF(BU$5=$E25+1,$C25,""),"")</f>
        <v/>
      </c>
      <c r="BV25" s="34">
        <f>IF(AND(BV$5&gt;$E25,BV$5&lt;=$F25),IF(BV$5=$E25+1,$C25,""),"")</f>
        <v/>
      </c>
      <c r="BW25" s="34">
        <f>IF(AND(BW$5&gt;$E25,BW$5&lt;=$F25),IF(BW$5=$E25+1,$C25,""),"")</f>
        <v/>
      </c>
      <c r="BX25" s="34">
        <f>IF(AND(BX$5&gt;$E25,BX$5&lt;=$F25),IF(BX$5=$E25+1,$C25,""),"")</f>
        <v/>
      </c>
      <c r="BY25" s="34">
        <f>IF(AND(BY$5&gt;$E25,BY$5&lt;=$F25),IF(BY$5=$E25+1,$C25,""),"")</f>
        <v/>
      </c>
      <c r="BZ25" s="34">
        <f>IF(AND(BZ$5&gt;$E25,BZ$5&lt;=$F25),IF(BZ$5=$E25+1,$C25,""),"")</f>
        <v/>
      </c>
      <c r="CA25" s="34">
        <f>IF(AND(CA$5&gt;$E25,CA$5&lt;=$F25),IF(CA$5=$E25+1,$C25,""),"")</f>
        <v/>
      </c>
      <c r="CB25" s="34">
        <f>IF(AND(CB$5&gt;$E25,CB$5&lt;=$F25),IF(CB$5=$E25+1,$C25,""),"")</f>
        <v/>
      </c>
      <c r="CC25" s="34">
        <f>IF(AND(CC$5&gt;$E25,CC$5&lt;=$F25),IF(CC$5=$E25+1,$C25,""),"")</f>
        <v/>
      </c>
      <c r="CD25" s="34">
        <f>IF(AND(CD$5&gt;$E25,CD$5&lt;=$F25),IF(CD$5=$E25+1,$C25,""),"")</f>
        <v/>
      </c>
      <c r="CE25" s="34">
        <f>IF(AND(CE$5&gt;$E25,CE$5&lt;=$F25),IF(CE$5=$E25+1,$C25,""),"")</f>
        <v/>
      </c>
      <c r="CF25" s="34">
        <f>IF(AND(CF$5&gt;$E25,CF$5&lt;=$F25),IF(CF$5=$E25+1,$C25,""),"")</f>
        <v/>
      </c>
      <c r="CG25" s="34">
        <f>IF(AND(CG$5&gt;$E25,CG$5&lt;=$F25),IF(CG$5=$E25+1,$C25,""),"")</f>
        <v/>
      </c>
      <c r="CH25" s="34">
        <f>IF(AND(CH$5&gt;$E25,CH$5&lt;=$F25),IF(CH$5=$E25+1,$C25,""),"")</f>
        <v/>
      </c>
      <c r="CI25" s="34">
        <f>IF(AND(CI$5&gt;$E25,CI$5&lt;=$F25),IF(CI$5=$E25+1,$C25,""),"")</f>
        <v/>
      </c>
      <c r="CJ25" s="34">
        <f>IF(AND(CJ$5&gt;$E25,CJ$5&lt;=$F25),IF(CJ$5=$E25+1,$C25,""),"")</f>
        <v/>
      </c>
      <c r="CK25" s="34">
        <f>IF(AND(CK$5&gt;$E25,CK$5&lt;=$F25),IF(CK$5=$E25+1,$C25,""),"")</f>
        <v/>
      </c>
      <c r="CL25" s="34">
        <f>IF(AND(CL$5&gt;$E25,CL$5&lt;=$F25),IF(CL$5=$E25+1,$C25,""),"")</f>
        <v/>
      </c>
      <c r="CM25" s="34">
        <f>IF(AND(CM$5&gt;$E25,CM$5&lt;=$F25),IF(CM$5=$E25+1,$C25,""),"")</f>
        <v/>
      </c>
      <c r="CN25" s="34">
        <f>IF(AND(CN$5&gt;$E25,CN$5&lt;=$F25),IF(CN$5=$E25+1,$C25,""),"")</f>
        <v/>
      </c>
      <c r="CO25" s="34">
        <f>IF(AND(CO$5&gt;$E25,CO$5&lt;=$F25),IF(CO$5=$E25+1,$C25,""),"")</f>
        <v/>
      </c>
      <c r="CP25" s="34">
        <f>IF(AND(CP$5&gt;$E25,CP$5&lt;=$F25),IF(CP$5=$E25+1,$C25,""),"")</f>
        <v/>
      </c>
      <c r="CQ25" s="34">
        <f>IF(AND(CQ$5&gt;$E25,CQ$5&lt;=$F25),IF(CQ$5=$E25+1,$C25,""),"")</f>
        <v/>
      </c>
      <c r="CR25" s="34">
        <f>IF(AND(CR$5&gt;$E25,CR$5&lt;=$F25),IF(CR$5=$E25+1,$C25,""),"")</f>
        <v/>
      </c>
      <c r="CS25" s="34">
        <f>IF(AND(CS$5&gt;$E25,CS$5&lt;=$F25),IF(CS$5=$E25+1,$C25,""),"")</f>
        <v/>
      </c>
    </row>
    <row r="26">
      <c r="A26" s="32">
        <f>Plan!A20</f>
        <v/>
      </c>
      <c r="B26" s="33">
        <f>Plan!C20</f>
        <v/>
      </c>
      <c r="C26" s="16">
        <f>Plan!D20</f>
        <v/>
      </c>
      <c r="D26" s="16">
        <f>Plan!I20</f>
        <v/>
      </c>
      <c r="E26" s="16">
        <f>Plan!K20</f>
        <v/>
      </c>
      <c r="F26" s="16">
        <f>Plan!L20</f>
        <v/>
      </c>
      <c r="G26" s="16">
        <f>Plan!O20</f>
        <v/>
      </c>
      <c r="H26" s="34">
        <f>IF(AND(H$5&gt;$E26,H$5&lt;=$F26),IF(H$5=$E26+1,$C26,""),"")</f>
        <v/>
      </c>
      <c r="I26" s="34">
        <f>IF(AND(I$5&gt;$E26,I$5&lt;=$F26),IF(I$5=$E26+1,$C26,""),"")</f>
        <v/>
      </c>
      <c r="J26" s="34">
        <f>IF(AND(J$5&gt;$E26,J$5&lt;=$F26),IF(J$5=$E26+1,$C26,""),"")</f>
        <v/>
      </c>
      <c r="K26" s="34">
        <f>IF(AND(K$5&gt;$E26,K$5&lt;=$F26),IF(K$5=$E26+1,$C26,""),"")</f>
        <v/>
      </c>
      <c r="L26" s="34">
        <f>IF(AND(L$5&gt;$E26,L$5&lt;=$F26),IF(L$5=$E26+1,$C26,""),"")</f>
        <v/>
      </c>
      <c r="M26" s="34">
        <f>IF(AND(M$5&gt;$E26,M$5&lt;=$F26),IF(M$5=$E26+1,$C26,""),"")</f>
        <v/>
      </c>
      <c r="N26" s="34">
        <f>IF(AND(N$5&gt;$E26,N$5&lt;=$F26),IF(N$5=$E26+1,$C26,""),"")</f>
        <v/>
      </c>
      <c r="O26" s="34">
        <f>IF(AND(O$5&gt;$E26,O$5&lt;=$F26),IF(O$5=$E26+1,$C26,""),"")</f>
        <v/>
      </c>
      <c r="P26" s="34">
        <f>IF(AND(P$5&gt;$E26,P$5&lt;=$F26),IF(P$5=$E26+1,$C26,""),"")</f>
        <v/>
      </c>
      <c r="Q26" s="34">
        <f>IF(AND(Q$5&gt;$E26,Q$5&lt;=$F26),IF(Q$5=$E26+1,$C26,""),"")</f>
        <v/>
      </c>
      <c r="R26" s="34">
        <f>IF(AND(R$5&gt;$E26,R$5&lt;=$F26),IF(R$5=$E26+1,$C26,""),"")</f>
        <v/>
      </c>
      <c r="S26" s="34">
        <f>IF(AND(S$5&gt;$E26,S$5&lt;=$F26),IF(S$5=$E26+1,$C26,""),"")</f>
        <v/>
      </c>
      <c r="T26" s="34">
        <f>IF(AND(T$5&gt;$E26,T$5&lt;=$F26),IF(T$5=$E26+1,$C26,""),"")</f>
        <v/>
      </c>
      <c r="U26" s="34">
        <f>IF(AND(U$5&gt;$E26,U$5&lt;=$F26),IF(U$5=$E26+1,$C26,""),"")</f>
        <v/>
      </c>
      <c r="V26" s="34">
        <f>IF(AND(V$5&gt;$E26,V$5&lt;=$F26),IF(V$5=$E26+1,$C26,""),"")</f>
        <v/>
      </c>
      <c r="W26" s="34">
        <f>IF(AND(W$5&gt;$E26,W$5&lt;=$F26),IF(W$5=$E26+1,$C26,""),"")</f>
        <v/>
      </c>
      <c r="X26" s="34">
        <f>IF(AND(X$5&gt;$E26,X$5&lt;=$F26),IF(X$5=$E26+1,$C26,""),"")</f>
        <v/>
      </c>
      <c r="Y26" s="34">
        <f>IF(AND(Y$5&gt;$E26,Y$5&lt;=$F26),IF(Y$5=$E26+1,$C26,""),"")</f>
        <v/>
      </c>
      <c r="Z26" s="34">
        <f>IF(AND(Z$5&gt;$E26,Z$5&lt;=$F26),IF(Z$5=$E26+1,$C26,""),"")</f>
        <v/>
      </c>
      <c r="AA26" s="34">
        <f>IF(AND(AA$5&gt;$E26,AA$5&lt;=$F26),IF(AA$5=$E26+1,$C26,""),"")</f>
        <v/>
      </c>
      <c r="AB26" s="34">
        <f>IF(AND(AB$5&gt;$E26,AB$5&lt;=$F26),IF(AB$5=$E26+1,$C26,""),"")</f>
        <v/>
      </c>
      <c r="AC26" s="34">
        <f>IF(AND(AC$5&gt;$E26,AC$5&lt;=$F26),IF(AC$5=$E26+1,$C26,""),"")</f>
        <v/>
      </c>
      <c r="AD26" s="34">
        <f>IF(AND(AD$5&gt;$E26,AD$5&lt;=$F26),IF(AD$5=$E26+1,$C26,""),"")</f>
        <v/>
      </c>
      <c r="AE26" s="34">
        <f>IF(AND(AE$5&gt;$E26,AE$5&lt;=$F26),IF(AE$5=$E26+1,$C26,""),"")</f>
        <v/>
      </c>
      <c r="AF26" s="34">
        <f>IF(AND(AF$5&gt;$E26,AF$5&lt;=$F26),IF(AF$5=$E26+1,$C26,""),"")</f>
        <v/>
      </c>
      <c r="AG26" s="34">
        <f>IF(AND(AG$5&gt;$E26,AG$5&lt;=$F26),IF(AG$5=$E26+1,$C26,""),"")</f>
        <v/>
      </c>
      <c r="AH26" s="34">
        <f>IF(AND(AH$5&gt;$E26,AH$5&lt;=$F26),IF(AH$5=$E26+1,$C26,""),"")</f>
        <v/>
      </c>
      <c r="AI26" s="34">
        <f>IF(AND(AI$5&gt;$E26,AI$5&lt;=$F26),IF(AI$5=$E26+1,$C26,""),"")</f>
        <v/>
      </c>
      <c r="AJ26" s="34">
        <f>IF(AND(AJ$5&gt;$E26,AJ$5&lt;=$F26),IF(AJ$5=$E26+1,$C26,""),"")</f>
        <v/>
      </c>
      <c r="AK26" s="34">
        <f>IF(AND(AK$5&gt;$E26,AK$5&lt;=$F26),IF(AK$5=$E26+1,$C26,""),"")</f>
        <v/>
      </c>
      <c r="AL26" s="34">
        <f>IF(AND(AL$5&gt;$E26,AL$5&lt;=$F26),IF(AL$5=$E26+1,$C26,""),"")</f>
        <v/>
      </c>
      <c r="AM26" s="34">
        <f>IF(AND(AM$5&gt;$E26,AM$5&lt;=$F26),IF(AM$5=$E26+1,$C26,""),"")</f>
        <v/>
      </c>
      <c r="AN26" s="34">
        <f>IF(AND(AN$5&gt;$E26,AN$5&lt;=$F26),IF(AN$5=$E26+1,$C26,""),"")</f>
        <v/>
      </c>
      <c r="AO26" s="34">
        <f>IF(AND(AO$5&gt;$E26,AO$5&lt;=$F26),IF(AO$5=$E26+1,$C26,""),"")</f>
        <v/>
      </c>
      <c r="AP26" s="34">
        <f>IF(AND(AP$5&gt;$E26,AP$5&lt;=$F26),IF(AP$5=$E26+1,$C26,""),"")</f>
        <v/>
      </c>
      <c r="AQ26" s="34">
        <f>IF(AND(AQ$5&gt;$E26,AQ$5&lt;=$F26),IF(AQ$5=$E26+1,$C26,""),"")</f>
        <v/>
      </c>
      <c r="AR26" s="34">
        <f>IF(AND(AR$5&gt;$E26,AR$5&lt;=$F26),IF(AR$5=$E26+1,$C26,""),"")</f>
        <v/>
      </c>
      <c r="AS26" s="34">
        <f>IF(AND(AS$5&gt;$E26,AS$5&lt;=$F26),IF(AS$5=$E26+1,$C26,""),"")</f>
        <v/>
      </c>
      <c r="AT26" s="34">
        <f>IF(AND(AT$5&gt;$E26,AT$5&lt;=$F26),IF(AT$5=$E26+1,$C26,""),"")</f>
        <v/>
      </c>
      <c r="AU26" s="34">
        <f>IF(AND(AU$5&gt;$E26,AU$5&lt;=$F26),IF(AU$5=$E26+1,$C26,""),"")</f>
        <v/>
      </c>
      <c r="AV26" s="34">
        <f>IF(AND(AV$5&gt;$E26,AV$5&lt;=$F26),IF(AV$5=$E26+1,$C26,""),"")</f>
        <v/>
      </c>
      <c r="AW26" s="34">
        <f>IF(AND(AW$5&gt;$E26,AW$5&lt;=$F26),IF(AW$5=$E26+1,$C26,""),"")</f>
        <v/>
      </c>
      <c r="AX26" s="34">
        <f>IF(AND(AX$5&gt;$E26,AX$5&lt;=$F26),IF(AX$5=$E26+1,$C26,""),"")</f>
        <v/>
      </c>
      <c r="AY26" s="34">
        <f>IF(AND(AY$5&gt;$E26,AY$5&lt;=$F26),IF(AY$5=$E26+1,$C26,""),"")</f>
        <v/>
      </c>
      <c r="AZ26" s="34">
        <f>IF(AND(AZ$5&gt;$E26,AZ$5&lt;=$F26),IF(AZ$5=$E26+1,$C26,""),"")</f>
        <v/>
      </c>
      <c r="BA26" s="34">
        <f>IF(AND(BA$5&gt;$E26,BA$5&lt;=$F26),IF(BA$5=$E26+1,$C26,""),"")</f>
        <v/>
      </c>
      <c r="BB26" s="34">
        <f>IF(AND(BB$5&gt;$E26,BB$5&lt;=$F26),IF(BB$5=$E26+1,$C26,""),"")</f>
        <v/>
      </c>
      <c r="BC26" s="34">
        <f>IF(AND(BC$5&gt;$E26,BC$5&lt;=$F26),IF(BC$5=$E26+1,$C26,""),"")</f>
        <v/>
      </c>
      <c r="BD26" s="34">
        <f>IF(AND(BD$5&gt;$E26,BD$5&lt;=$F26),IF(BD$5=$E26+1,$C26,""),"")</f>
        <v/>
      </c>
      <c r="BE26" s="34">
        <f>IF(AND(BE$5&gt;$E26,BE$5&lt;=$F26),IF(BE$5=$E26+1,$C26,""),"")</f>
        <v/>
      </c>
      <c r="BF26" s="34">
        <f>IF(AND(BF$5&gt;$E26,BF$5&lt;=$F26),IF(BF$5=$E26+1,$C26,""),"")</f>
        <v/>
      </c>
      <c r="BG26" s="34">
        <f>IF(AND(BG$5&gt;$E26,BG$5&lt;=$F26),IF(BG$5=$E26+1,$C26,""),"")</f>
        <v/>
      </c>
      <c r="BH26" s="34">
        <f>IF(AND(BH$5&gt;$E26,BH$5&lt;=$F26),IF(BH$5=$E26+1,$C26,""),"")</f>
        <v/>
      </c>
      <c r="BI26" s="34">
        <f>IF(AND(BI$5&gt;$E26,BI$5&lt;=$F26),IF(BI$5=$E26+1,$C26,""),"")</f>
        <v/>
      </c>
      <c r="BJ26" s="34">
        <f>IF(AND(BJ$5&gt;$E26,BJ$5&lt;=$F26),IF(BJ$5=$E26+1,$C26,""),"")</f>
        <v/>
      </c>
      <c r="BK26" s="34">
        <f>IF(AND(BK$5&gt;$E26,BK$5&lt;=$F26),IF(BK$5=$E26+1,$C26,""),"")</f>
        <v/>
      </c>
      <c r="BL26" s="34">
        <f>IF(AND(BL$5&gt;$E26,BL$5&lt;=$F26),IF(BL$5=$E26+1,$C26,""),"")</f>
        <v/>
      </c>
      <c r="BM26" s="34">
        <f>IF(AND(BM$5&gt;$E26,BM$5&lt;=$F26),IF(BM$5=$E26+1,$C26,""),"")</f>
        <v/>
      </c>
      <c r="BN26" s="34">
        <f>IF(AND(BN$5&gt;$E26,BN$5&lt;=$F26),IF(BN$5=$E26+1,$C26,""),"")</f>
        <v/>
      </c>
      <c r="BO26" s="34">
        <f>IF(AND(BO$5&gt;$E26,BO$5&lt;=$F26),IF(BO$5=$E26+1,$C26,""),"")</f>
        <v/>
      </c>
      <c r="BP26" s="34">
        <f>IF(AND(BP$5&gt;$E26,BP$5&lt;=$F26),IF(BP$5=$E26+1,$C26,""),"")</f>
        <v/>
      </c>
      <c r="BQ26" s="34">
        <f>IF(AND(BQ$5&gt;$E26,BQ$5&lt;=$F26),IF(BQ$5=$E26+1,$C26,""),"")</f>
        <v/>
      </c>
      <c r="BR26" s="34">
        <f>IF(AND(BR$5&gt;$E26,BR$5&lt;=$F26),IF(BR$5=$E26+1,$C26,""),"")</f>
        <v/>
      </c>
      <c r="BS26" s="34">
        <f>IF(AND(BS$5&gt;$E26,BS$5&lt;=$F26),IF(BS$5=$E26+1,$C26,""),"")</f>
        <v/>
      </c>
      <c r="BT26" s="34">
        <f>IF(AND(BT$5&gt;$E26,BT$5&lt;=$F26),IF(BT$5=$E26+1,$C26,""),"")</f>
        <v/>
      </c>
      <c r="BU26" s="34">
        <f>IF(AND(BU$5&gt;$E26,BU$5&lt;=$F26),IF(BU$5=$E26+1,$C26,""),"")</f>
        <v/>
      </c>
      <c r="BV26" s="34">
        <f>IF(AND(BV$5&gt;$E26,BV$5&lt;=$F26),IF(BV$5=$E26+1,$C26,""),"")</f>
        <v/>
      </c>
      <c r="BW26" s="34">
        <f>IF(AND(BW$5&gt;$E26,BW$5&lt;=$F26),IF(BW$5=$E26+1,$C26,""),"")</f>
        <v/>
      </c>
      <c r="BX26" s="34">
        <f>IF(AND(BX$5&gt;$E26,BX$5&lt;=$F26),IF(BX$5=$E26+1,$C26,""),"")</f>
        <v/>
      </c>
      <c r="BY26" s="34">
        <f>IF(AND(BY$5&gt;$E26,BY$5&lt;=$F26),IF(BY$5=$E26+1,$C26,""),"")</f>
        <v/>
      </c>
      <c r="BZ26" s="34">
        <f>IF(AND(BZ$5&gt;$E26,BZ$5&lt;=$F26),IF(BZ$5=$E26+1,$C26,""),"")</f>
        <v/>
      </c>
      <c r="CA26" s="34">
        <f>IF(AND(CA$5&gt;$E26,CA$5&lt;=$F26),IF(CA$5=$E26+1,$C26,""),"")</f>
        <v/>
      </c>
      <c r="CB26" s="34">
        <f>IF(AND(CB$5&gt;$E26,CB$5&lt;=$F26),IF(CB$5=$E26+1,$C26,""),"")</f>
        <v/>
      </c>
      <c r="CC26" s="34">
        <f>IF(AND(CC$5&gt;$E26,CC$5&lt;=$F26),IF(CC$5=$E26+1,$C26,""),"")</f>
        <v/>
      </c>
      <c r="CD26" s="34">
        <f>IF(AND(CD$5&gt;$E26,CD$5&lt;=$F26),IF(CD$5=$E26+1,$C26,""),"")</f>
        <v/>
      </c>
      <c r="CE26" s="34">
        <f>IF(AND(CE$5&gt;$E26,CE$5&lt;=$F26),IF(CE$5=$E26+1,$C26,""),"")</f>
        <v/>
      </c>
      <c r="CF26" s="34">
        <f>IF(AND(CF$5&gt;$E26,CF$5&lt;=$F26),IF(CF$5=$E26+1,$C26,""),"")</f>
        <v/>
      </c>
      <c r="CG26" s="34">
        <f>IF(AND(CG$5&gt;$E26,CG$5&lt;=$F26),IF(CG$5=$E26+1,$C26,""),"")</f>
        <v/>
      </c>
      <c r="CH26" s="34">
        <f>IF(AND(CH$5&gt;$E26,CH$5&lt;=$F26),IF(CH$5=$E26+1,$C26,""),"")</f>
        <v/>
      </c>
      <c r="CI26" s="34">
        <f>IF(AND(CI$5&gt;$E26,CI$5&lt;=$F26),IF(CI$5=$E26+1,$C26,""),"")</f>
        <v/>
      </c>
      <c r="CJ26" s="34">
        <f>IF(AND(CJ$5&gt;$E26,CJ$5&lt;=$F26),IF(CJ$5=$E26+1,$C26,""),"")</f>
        <v/>
      </c>
      <c r="CK26" s="34">
        <f>IF(AND(CK$5&gt;$E26,CK$5&lt;=$F26),IF(CK$5=$E26+1,$C26,""),"")</f>
        <v/>
      </c>
      <c r="CL26" s="34">
        <f>IF(AND(CL$5&gt;$E26,CL$5&lt;=$F26),IF(CL$5=$E26+1,$C26,""),"")</f>
        <v/>
      </c>
      <c r="CM26" s="34">
        <f>IF(AND(CM$5&gt;$E26,CM$5&lt;=$F26),IF(CM$5=$E26+1,$C26,""),"")</f>
        <v/>
      </c>
      <c r="CN26" s="34">
        <f>IF(AND(CN$5&gt;$E26,CN$5&lt;=$F26),IF(CN$5=$E26+1,$C26,""),"")</f>
        <v/>
      </c>
      <c r="CO26" s="34">
        <f>IF(AND(CO$5&gt;$E26,CO$5&lt;=$F26),IF(CO$5=$E26+1,$C26,""),"")</f>
        <v/>
      </c>
      <c r="CP26" s="34">
        <f>IF(AND(CP$5&gt;$E26,CP$5&lt;=$F26),IF(CP$5=$E26+1,$C26,""),"")</f>
        <v/>
      </c>
      <c r="CQ26" s="34">
        <f>IF(AND(CQ$5&gt;$E26,CQ$5&lt;=$F26),IF(CQ$5=$E26+1,$C26,""),"")</f>
        <v/>
      </c>
      <c r="CR26" s="34">
        <f>IF(AND(CR$5&gt;$E26,CR$5&lt;=$F26),IF(CR$5=$E26+1,$C26,""),"")</f>
        <v/>
      </c>
      <c r="CS26" s="34">
        <f>IF(AND(CS$5&gt;$E26,CS$5&lt;=$F26),IF(CS$5=$E26+1,$C26,""),"")</f>
        <v/>
      </c>
    </row>
    <row r="27">
      <c r="A27" s="32">
        <f>Plan!A21</f>
        <v/>
      </c>
      <c r="B27" s="33">
        <f>Plan!C21</f>
        <v/>
      </c>
      <c r="C27" s="16">
        <f>Plan!D21</f>
        <v/>
      </c>
      <c r="D27" s="16">
        <f>Plan!I21</f>
        <v/>
      </c>
      <c r="E27" s="16">
        <f>Plan!K21</f>
        <v/>
      </c>
      <c r="F27" s="16">
        <f>Plan!L21</f>
        <v/>
      </c>
      <c r="G27" s="16">
        <f>Plan!O21</f>
        <v/>
      </c>
      <c r="H27" s="34">
        <f>IF(AND(H$5&gt;$E27,H$5&lt;=$F27),IF(H$5=$E27+1,$C27,""),"")</f>
        <v/>
      </c>
      <c r="I27" s="34">
        <f>IF(AND(I$5&gt;$E27,I$5&lt;=$F27),IF(I$5=$E27+1,$C27,""),"")</f>
        <v/>
      </c>
      <c r="J27" s="34">
        <f>IF(AND(J$5&gt;$E27,J$5&lt;=$F27),IF(J$5=$E27+1,$C27,""),"")</f>
        <v/>
      </c>
      <c r="K27" s="34">
        <f>IF(AND(K$5&gt;$E27,K$5&lt;=$F27),IF(K$5=$E27+1,$C27,""),"")</f>
        <v/>
      </c>
      <c r="L27" s="34">
        <f>IF(AND(L$5&gt;$E27,L$5&lt;=$F27),IF(L$5=$E27+1,$C27,""),"")</f>
        <v/>
      </c>
      <c r="M27" s="34">
        <f>IF(AND(M$5&gt;$E27,M$5&lt;=$F27),IF(M$5=$E27+1,$C27,""),"")</f>
        <v/>
      </c>
      <c r="N27" s="34">
        <f>IF(AND(N$5&gt;$E27,N$5&lt;=$F27),IF(N$5=$E27+1,$C27,""),"")</f>
        <v/>
      </c>
      <c r="O27" s="34">
        <f>IF(AND(O$5&gt;$E27,O$5&lt;=$F27),IF(O$5=$E27+1,$C27,""),"")</f>
        <v/>
      </c>
      <c r="P27" s="34">
        <f>IF(AND(P$5&gt;$E27,P$5&lt;=$F27),IF(P$5=$E27+1,$C27,""),"")</f>
        <v/>
      </c>
      <c r="Q27" s="34">
        <f>IF(AND(Q$5&gt;$E27,Q$5&lt;=$F27),IF(Q$5=$E27+1,$C27,""),"")</f>
        <v/>
      </c>
      <c r="R27" s="34">
        <f>IF(AND(R$5&gt;$E27,R$5&lt;=$F27),IF(R$5=$E27+1,$C27,""),"")</f>
        <v/>
      </c>
      <c r="S27" s="34">
        <f>IF(AND(S$5&gt;$E27,S$5&lt;=$F27),IF(S$5=$E27+1,$C27,""),"")</f>
        <v/>
      </c>
      <c r="T27" s="34">
        <f>IF(AND(T$5&gt;$E27,T$5&lt;=$F27),IF(T$5=$E27+1,$C27,""),"")</f>
        <v/>
      </c>
      <c r="U27" s="34">
        <f>IF(AND(U$5&gt;$E27,U$5&lt;=$F27),IF(U$5=$E27+1,$C27,""),"")</f>
        <v/>
      </c>
      <c r="V27" s="34">
        <f>IF(AND(V$5&gt;$E27,V$5&lt;=$F27),IF(V$5=$E27+1,$C27,""),"")</f>
        <v/>
      </c>
      <c r="W27" s="34">
        <f>IF(AND(W$5&gt;$E27,W$5&lt;=$F27),IF(W$5=$E27+1,$C27,""),"")</f>
        <v/>
      </c>
      <c r="X27" s="34">
        <f>IF(AND(X$5&gt;$E27,X$5&lt;=$F27),IF(X$5=$E27+1,$C27,""),"")</f>
        <v/>
      </c>
      <c r="Y27" s="34">
        <f>IF(AND(Y$5&gt;$E27,Y$5&lt;=$F27),IF(Y$5=$E27+1,$C27,""),"")</f>
        <v/>
      </c>
      <c r="Z27" s="34">
        <f>IF(AND(Z$5&gt;$E27,Z$5&lt;=$F27),IF(Z$5=$E27+1,$C27,""),"")</f>
        <v/>
      </c>
      <c r="AA27" s="34">
        <f>IF(AND(AA$5&gt;$E27,AA$5&lt;=$F27),IF(AA$5=$E27+1,$C27,""),"")</f>
        <v/>
      </c>
      <c r="AB27" s="34">
        <f>IF(AND(AB$5&gt;$E27,AB$5&lt;=$F27),IF(AB$5=$E27+1,$C27,""),"")</f>
        <v/>
      </c>
      <c r="AC27" s="34">
        <f>IF(AND(AC$5&gt;$E27,AC$5&lt;=$F27),IF(AC$5=$E27+1,$C27,""),"")</f>
        <v/>
      </c>
      <c r="AD27" s="34">
        <f>IF(AND(AD$5&gt;$E27,AD$5&lt;=$F27),IF(AD$5=$E27+1,$C27,""),"")</f>
        <v/>
      </c>
      <c r="AE27" s="34">
        <f>IF(AND(AE$5&gt;$E27,AE$5&lt;=$F27),IF(AE$5=$E27+1,$C27,""),"")</f>
        <v/>
      </c>
      <c r="AF27" s="34">
        <f>IF(AND(AF$5&gt;$E27,AF$5&lt;=$F27),IF(AF$5=$E27+1,$C27,""),"")</f>
        <v/>
      </c>
      <c r="AG27" s="34">
        <f>IF(AND(AG$5&gt;$E27,AG$5&lt;=$F27),IF(AG$5=$E27+1,$C27,""),"")</f>
        <v/>
      </c>
      <c r="AH27" s="34">
        <f>IF(AND(AH$5&gt;$E27,AH$5&lt;=$F27),IF(AH$5=$E27+1,$C27,""),"")</f>
        <v/>
      </c>
      <c r="AI27" s="34">
        <f>IF(AND(AI$5&gt;$E27,AI$5&lt;=$F27),IF(AI$5=$E27+1,$C27,""),"")</f>
        <v/>
      </c>
      <c r="AJ27" s="34">
        <f>IF(AND(AJ$5&gt;$E27,AJ$5&lt;=$F27),IF(AJ$5=$E27+1,$C27,""),"")</f>
        <v/>
      </c>
      <c r="AK27" s="34">
        <f>IF(AND(AK$5&gt;$E27,AK$5&lt;=$F27),IF(AK$5=$E27+1,$C27,""),"")</f>
        <v/>
      </c>
      <c r="AL27" s="34">
        <f>IF(AND(AL$5&gt;$E27,AL$5&lt;=$F27),IF(AL$5=$E27+1,$C27,""),"")</f>
        <v/>
      </c>
      <c r="AM27" s="34">
        <f>IF(AND(AM$5&gt;$E27,AM$5&lt;=$F27),IF(AM$5=$E27+1,$C27,""),"")</f>
        <v/>
      </c>
      <c r="AN27" s="34">
        <f>IF(AND(AN$5&gt;$E27,AN$5&lt;=$F27),IF(AN$5=$E27+1,$C27,""),"")</f>
        <v/>
      </c>
      <c r="AO27" s="34">
        <f>IF(AND(AO$5&gt;$E27,AO$5&lt;=$F27),IF(AO$5=$E27+1,$C27,""),"")</f>
        <v/>
      </c>
      <c r="AP27" s="34">
        <f>IF(AND(AP$5&gt;$E27,AP$5&lt;=$F27),IF(AP$5=$E27+1,$C27,""),"")</f>
        <v/>
      </c>
      <c r="AQ27" s="34">
        <f>IF(AND(AQ$5&gt;$E27,AQ$5&lt;=$F27),IF(AQ$5=$E27+1,$C27,""),"")</f>
        <v/>
      </c>
      <c r="AR27" s="34">
        <f>IF(AND(AR$5&gt;$E27,AR$5&lt;=$F27),IF(AR$5=$E27+1,$C27,""),"")</f>
        <v/>
      </c>
      <c r="AS27" s="34">
        <f>IF(AND(AS$5&gt;$E27,AS$5&lt;=$F27),IF(AS$5=$E27+1,$C27,""),"")</f>
        <v/>
      </c>
      <c r="AT27" s="34">
        <f>IF(AND(AT$5&gt;$E27,AT$5&lt;=$F27),IF(AT$5=$E27+1,$C27,""),"")</f>
        <v/>
      </c>
      <c r="AU27" s="34">
        <f>IF(AND(AU$5&gt;$E27,AU$5&lt;=$F27),IF(AU$5=$E27+1,$C27,""),"")</f>
        <v/>
      </c>
      <c r="AV27" s="34">
        <f>IF(AND(AV$5&gt;$E27,AV$5&lt;=$F27),IF(AV$5=$E27+1,$C27,""),"")</f>
        <v/>
      </c>
      <c r="AW27" s="34">
        <f>IF(AND(AW$5&gt;$E27,AW$5&lt;=$F27),IF(AW$5=$E27+1,$C27,""),"")</f>
        <v/>
      </c>
      <c r="AX27" s="34">
        <f>IF(AND(AX$5&gt;$E27,AX$5&lt;=$F27),IF(AX$5=$E27+1,$C27,""),"")</f>
        <v/>
      </c>
      <c r="AY27" s="34">
        <f>IF(AND(AY$5&gt;$E27,AY$5&lt;=$F27),IF(AY$5=$E27+1,$C27,""),"")</f>
        <v/>
      </c>
      <c r="AZ27" s="34">
        <f>IF(AND(AZ$5&gt;$E27,AZ$5&lt;=$F27),IF(AZ$5=$E27+1,$C27,""),"")</f>
        <v/>
      </c>
      <c r="BA27" s="34">
        <f>IF(AND(BA$5&gt;$E27,BA$5&lt;=$F27),IF(BA$5=$E27+1,$C27,""),"")</f>
        <v/>
      </c>
      <c r="BB27" s="34">
        <f>IF(AND(BB$5&gt;$E27,BB$5&lt;=$F27),IF(BB$5=$E27+1,$C27,""),"")</f>
        <v/>
      </c>
      <c r="BC27" s="34">
        <f>IF(AND(BC$5&gt;$E27,BC$5&lt;=$F27),IF(BC$5=$E27+1,$C27,""),"")</f>
        <v/>
      </c>
      <c r="BD27" s="34">
        <f>IF(AND(BD$5&gt;$E27,BD$5&lt;=$F27),IF(BD$5=$E27+1,$C27,""),"")</f>
        <v/>
      </c>
      <c r="BE27" s="34">
        <f>IF(AND(BE$5&gt;$E27,BE$5&lt;=$F27),IF(BE$5=$E27+1,$C27,""),"")</f>
        <v/>
      </c>
      <c r="BF27" s="34">
        <f>IF(AND(BF$5&gt;$E27,BF$5&lt;=$F27),IF(BF$5=$E27+1,$C27,""),"")</f>
        <v/>
      </c>
      <c r="BG27" s="34">
        <f>IF(AND(BG$5&gt;$E27,BG$5&lt;=$F27),IF(BG$5=$E27+1,$C27,""),"")</f>
        <v/>
      </c>
      <c r="BH27" s="34">
        <f>IF(AND(BH$5&gt;$E27,BH$5&lt;=$F27),IF(BH$5=$E27+1,$C27,""),"")</f>
        <v/>
      </c>
      <c r="BI27" s="34">
        <f>IF(AND(BI$5&gt;$E27,BI$5&lt;=$F27),IF(BI$5=$E27+1,$C27,""),"")</f>
        <v/>
      </c>
      <c r="BJ27" s="34">
        <f>IF(AND(BJ$5&gt;$E27,BJ$5&lt;=$F27),IF(BJ$5=$E27+1,$C27,""),"")</f>
        <v/>
      </c>
      <c r="BK27" s="34">
        <f>IF(AND(BK$5&gt;$E27,BK$5&lt;=$F27),IF(BK$5=$E27+1,$C27,""),"")</f>
        <v/>
      </c>
      <c r="BL27" s="34">
        <f>IF(AND(BL$5&gt;$E27,BL$5&lt;=$F27),IF(BL$5=$E27+1,$C27,""),"")</f>
        <v/>
      </c>
      <c r="BM27" s="34">
        <f>IF(AND(BM$5&gt;$E27,BM$5&lt;=$F27),IF(BM$5=$E27+1,$C27,""),"")</f>
        <v/>
      </c>
      <c r="BN27" s="34">
        <f>IF(AND(BN$5&gt;$E27,BN$5&lt;=$F27),IF(BN$5=$E27+1,$C27,""),"")</f>
        <v/>
      </c>
      <c r="BO27" s="34">
        <f>IF(AND(BO$5&gt;$E27,BO$5&lt;=$F27),IF(BO$5=$E27+1,$C27,""),"")</f>
        <v/>
      </c>
      <c r="BP27" s="34">
        <f>IF(AND(BP$5&gt;$E27,BP$5&lt;=$F27),IF(BP$5=$E27+1,$C27,""),"")</f>
        <v/>
      </c>
      <c r="BQ27" s="34">
        <f>IF(AND(BQ$5&gt;$E27,BQ$5&lt;=$F27),IF(BQ$5=$E27+1,$C27,""),"")</f>
        <v/>
      </c>
      <c r="BR27" s="34">
        <f>IF(AND(BR$5&gt;$E27,BR$5&lt;=$F27),IF(BR$5=$E27+1,$C27,""),"")</f>
        <v/>
      </c>
      <c r="BS27" s="34">
        <f>IF(AND(BS$5&gt;$E27,BS$5&lt;=$F27),IF(BS$5=$E27+1,$C27,""),"")</f>
        <v/>
      </c>
      <c r="BT27" s="34">
        <f>IF(AND(BT$5&gt;$E27,BT$5&lt;=$F27),IF(BT$5=$E27+1,$C27,""),"")</f>
        <v/>
      </c>
      <c r="BU27" s="34">
        <f>IF(AND(BU$5&gt;$E27,BU$5&lt;=$F27),IF(BU$5=$E27+1,$C27,""),"")</f>
        <v/>
      </c>
      <c r="BV27" s="34">
        <f>IF(AND(BV$5&gt;$E27,BV$5&lt;=$F27),IF(BV$5=$E27+1,$C27,""),"")</f>
        <v/>
      </c>
      <c r="BW27" s="34">
        <f>IF(AND(BW$5&gt;$E27,BW$5&lt;=$F27),IF(BW$5=$E27+1,$C27,""),"")</f>
        <v/>
      </c>
      <c r="BX27" s="34">
        <f>IF(AND(BX$5&gt;$E27,BX$5&lt;=$F27),IF(BX$5=$E27+1,$C27,""),"")</f>
        <v/>
      </c>
      <c r="BY27" s="34">
        <f>IF(AND(BY$5&gt;$E27,BY$5&lt;=$F27),IF(BY$5=$E27+1,$C27,""),"")</f>
        <v/>
      </c>
      <c r="BZ27" s="34">
        <f>IF(AND(BZ$5&gt;$E27,BZ$5&lt;=$F27),IF(BZ$5=$E27+1,$C27,""),"")</f>
        <v/>
      </c>
      <c r="CA27" s="34">
        <f>IF(AND(CA$5&gt;$E27,CA$5&lt;=$F27),IF(CA$5=$E27+1,$C27,""),"")</f>
        <v/>
      </c>
      <c r="CB27" s="34">
        <f>IF(AND(CB$5&gt;$E27,CB$5&lt;=$F27),IF(CB$5=$E27+1,$C27,""),"")</f>
        <v/>
      </c>
      <c r="CC27" s="34">
        <f>IF(AND(CC$5&gt;$E27,CC$5&lt;=$F27),IF(CC$5=$E27+1,$C27,""),"")</f>
        <v/>
      </c>
      <c r="CD27" s="34">
        <f>IF(AND(CD$5&gt;$E27,CD$5&lt;=$F27),IF(CD$5=$E27+1,$C27,""),"")</f>
        <v/>
      </c>
      <c r="CE27" s="34">
        <f>IF(AND(CE$5&gt;$E27,CE$5&lt;=$F27),IF(CE$5=$E27+1,$C27,""),"")</f>
        <v/>
      </c>
      <c r="CF27" s="34">
        <f>IF(AND(CF$5&gt;$E27,CF$5&lt;=$F27),IF(CF$5=$E27+1,$C27,""),"")</f>
        <v/>
      </c>
      <c r="CG27" s="34">
        <f>IF(AND(CG$5&gt;$E27,CG$5&lt;=$F27),IF(CG$5=$E27+1,$C27,""),"")</f>
        <v/>
      </c>
      <c r="CH27" s="34">
        <f>IF(AND(CH$5&gt;$E27,CH$5&lt;=$F27),IF(CH$5=$E27+1,$C27,""),"")</f>
        <v/>
      </c>
      <c r="CI27" s="34">
        <f>IF(AND(CI$5&gt;$E27,CI$5&lt;=$F27),IF(CI$5=$E27+1,$C27,""),"")</f>
        <v/>
      </c>
      <c r="CJ27" s="34">
        <f>IF(AND(CJ$5&gt;$E27,CJ$5&lt;=$F27),IF(CJ$5=$E27+1,$C27,""),"")</f>
        <v/>
      </c>
      <c r="CK27" s="34">
        <f>IF(AND(CK$5&gt;$E27,CK$5&lt;=$F27),IF(CK$5=$E27+1,$C27,""),"")</f>
        <v/>
      </c>
      <c r="CL27" s="34">
        <f>IF(AND(CL$5&gt;$E27,CL$5&lt;=$F27),IF(CL$5=$E27+1,$C27,""),"")</f>
        <v/>
      </c>
      <c r="CM27" s="34">
        <f>IF(AND(CM$5&gt;$E27,CM$5&lt;=$F27),IF(CM$5=$E27+1,$C27,""),"")</f>
        <v/>
      </c>
      <c r="CN27" s="34">
        <f>IF(AND(CN$5&gt;$E27,CN$5&lt;=$F27),IF(CN$5=$E27+1,$C27,""),"")</f>
        <v/>
      </c>
      <c r="CO27" s="34">
        <f>IF(AND(CO$5&gt;$E27,CO$5&lt;=$F27),IF(CO$5=$E27+1,$C27,""),"")</f>
        <v/>
      </c>
      <c r="CP27" s="34">
        <f>IF(AND(CP$5&gt;$E27,CP$5&lt;=$F27),IF(CP$5=$E27+1,$C27,""),"")</f>
        <v/>
      </c>
      <c r="CQ27" s="34">
        <f>IF(AND(CQ$5&gt;$E27,CQ$5&lt;=$F27),IF(CQ$5=$E27+1,$C27,""),"")</f>
        <v/>
      </c>
      <c r="CR27" s="34">
        <f>IF(AND(CR$5&gt;$E27,CR$5&lt;=$F27),IF(CR$5=$E27+1,$C27,""),"")</f>
        <v/>
      </c>
      <c r="CS27" s="34">
        <f>IF(AND(CS$5&gt;$E27,CS$5&lt;=$F27),IF(CS$5=$E27+1,$C27,""),"")</f>
        <v/>
      </c>
    </row>
    <row r="28">
      <c r="A28" s="32">
        <f>Plan!A22</f>
        <v/>
      </c>
      <c r="B28" s="33">
        <f>Plan!C22</f>
        <v/>
      </c>
      <c r="C28" s="16">
        <f>Plan!D22</f>
        <v/>
      </c>
      <c r="D28" s="16">
        <f>Plan!I22</f>
        <v/>
      </c>
      <c r="E28" s="16">
        <f>Plan!K22</f>
        <v/>
      </c>
      <c r="F28" s="16">
        <f>Plan!L22</f>
        <v/>
      </c>
      <c r="G28" s="16">
        <f>Plan!O22</f>
        <v/>
      </c>
      <c r="H28" s="34">
        <f>IF(AND(H$5&gt;$E28,H$5&lt;=$F28),IF(H$5=$E28+1,$C28,""),"")</f>
        <v/>
      </c>
      <c r="I28" s="34">
        <f>IF(AND(I$5&gt;$E28,I$5&lt;=$F28),IF(I$5=$E28+1,$C28,""),"")</f>
        <v/>
      </c>
      <c r="J28" s="34">
        <f>IF(AND(J$5&gt;$E28,J$5&lt;=$F28),IF(J$5=$E28+1,$C28,""),"")</f>
        <v/>
      </c>
      <c r="K28" s="34">
        <f>IF(AND(K$5&gt;$E28,K$5&lt;=$F28),IF(K$5=$E28+1,$C28,""),"")</f>
        <v/>
      </c>
      <c r="L28" s="34">
        <f>IF(AND(L$5&gt;$E28,L$5&lt;=$F28),IF(L$5=$E28+1,$C28,""),"")</f>
        <v/>
      </c>
      <c r="M28" s="34">
        <f>IF(AND(M$5&gt;$E28,M$5&lt;=$F28),IF(M$5=$E28+1,$C28,""),"")</f>
        <v/>
      </c>
      <c r="N28" s="34">
        <f>IF(AND(N$5&gt;$E28,N$5&lt;=$F28),IF(N$5=$E28+1,$C28,""),"")</f>
        <v/>
      </c>
      <c r="O28" s="34">
        <f>IF(AND(O$5&gt;$E28,O$5&lt;=$F28),IF(O$5=$E28+1,$C28,""),"")</f>
        <v/>
      </c>
      <c r="P28" s="34">
        <f>IF(AND(P$5&gt;$E28,P$5&lt;=$F28),IF(P$5=$E28+1,$C28,""),"")</f>
        <v/>
      </c>
      <c r="Q28" s="34">
        <f>IF(AND(Q$5&gt;$E28,Q$5&lt;=$F28),IF(Q$5=$E28+1,$C28,""),"")</f>
        <v/>
      </c>
      <c r="R28" s="34">
        <f>IF(AND(R$5&gt;$E28,R$5&lt;=$F28),IF(R$5=$E28+1,$C28,""),"")</f>
        <v/>
      </c>
      <c r="S28" s="34">
        <f>IF(AND(S$5&gt;$E28,S$5&lt;=$F28),IF(S$5=$E28+1,$C28,""),"")</f>
        <v/>
      </c>
      <c r="T28" s="34">
        <f>IF(AND(T$5&gt;$E28,T$5&lt;=$F28),IF(T$5=$E28+1,$C28,""),"")</f>
        <v/>
      </c>
      <c r="U28" s="34">
        <f>IF(AND(U$5&gt;$E28,U$5&lt;=$F28),IF(U$5=$E28+1,$C28,""),"")</f>
        <v/>
      </c>
      <c r="V28" s="34">
        <f>IF(AND(V$5&gt;$E28,V$5&lt;=$F28),IF(V$5=$E28+1,$C28,""),"")</f>
        <v/>
      </c>
      <c r="W28" s="34">
        <f>IF(AND(W$5&gt;$E28,W$5&lt;=$F28),IF(W$5=$E28+1,$C28,""),"")</f>
        <v/>
      </c>
      <c r="X28" s="34">
        <f>IF(AND(X$5&gt;$E28,X$5&lt;=$F28),IF(X$5=$E28+1,$C28,""),"")</f>
        <v/>
      </c>
      <c r="Y28" s="34">
        <f>IF(AND(Y$5&gt;$E28,Y$5&lt;=$F28),IF(Y$5=$E28+1,$C28,""),"")</f>
        <v/>
      </c>
      <c r="Z28" s="34">
        <f>IF(AND(Z$5&gt;$E28,Z$5&lt;=$F28),IF(Z$5=$E28+1,$C28,""),"")</f>
        <v/>
      </c>
      <c r="AA28" s="34">
        <f>IF(AND(AA$5&gt;$E28,AA$5&lt;=$F28),IF(AA$5=$E28+1,$C28,""),"")</f>
        <v/>
      </c>
      <c r="AB28" s="34">
        <f>IF(AND(AB$5&gt;$E28,AB$5&lt;=$F28),IF(AB$5=$E28+1,$C28,""),"")</f>
        <v/>
      </c>
      <c r="AC28" s="34">
        <f>IF(AND(AC$5&gt;$E28,AC$5&lt;=$F28),IF(AC$5=$E28+1,$C28,""),"")</f>
        <v/>
      </c>
      <c r="AD28" s="34">
        <f>IF(AND(AD$5&gt;$E28,AD$5&lt;=$F28),IF(AD$5=$E28+1,$C28,""),"")</f>
        <v/>
      </c>
      <c r="AE28" s="34">
        <f>IF(AND(AE$5&gt;$E28,AE$5&lt;=$F28),IF(AE$5=$E28+1,$C28,""),"")</f>
        <v/>
      </c>
      <c r="AF28" s="34">
        <f>IF(AND(AF$5&gt;$E28,AF$5&lt;=$F28),IF(AF$5=$E28+1,$C28,""),"")</f>
        <v/>
      </c>
      <c r="AG28" s="34">
        <f>IF(AND(AG$5&gt;$E28,AG$5&lt;=$F28),IF(AG$5=$E28+1,$C28,""),"")</f>
        <v/>
      </c>
      <c r="AH28" s="34">
        <f>IF(AND(AH$5&gt;$E28,AH$5&lt;=$F28),IF(AH$5=$E28+1,$C28,""),"")</f>
        <v/>
      </c>
      <c r="AI28" s="34">
        <f>IF(AND(AI$5&gt;$E28,AI$5&lt;=$F28),IF(AI$5=$E28+1,$C28,""),"")</f>
        <v/>
      </c>
      <c r="AJ28" s="34">
        <f>IF(AND(AJ$5&gt;$E28,AJ$5&lt;=$F28),IF(AJ$5=$E28+1,$C28,""),"")</f>
        <v/>
      </c>
      <c r="AK28" s="34">
        <f>IF(AND(AK$5&gt;$E28,AK$5&lt;=$F28),IF(AK$5=$E28+1,$C28,""),"")</f>
        <v/>
      </c>
      <c r="AL28" s="34">
        <f>IF(AND(AL$5&gt;$E28,AL$5&lt;=$F28),IF(AL$5=$E28+1,$C28,""),"")</f>
        <v/>
      </c>
      <c r="AM28" s="34">
        <f>IF(AND(AM$5&gt;$E28,AM$5&lt;=$F28),IF(AM$5=$E28+1,$C28,""),"")</f>
        <v/>
      </c>
      <c r="AN28" s="34">
        <f>IF(AND(AN$5&gt;$E28,AN$5&lt;=$F28),IF(AN$5=$E28+1,$C28,""),"")</f>
        <v/>
      </c>
      <c r="AO28" s="34">
        <f>IF(AND(AO$5&gt;$E28,AO$5&lt;=$F28),IF(AO$5=$E28+1,$C28,""),"")</f>
        <v/>
      </c>
      <c r="AP28" s="34">
        <f>IF(AND(AP$5&gt;$E28,AP$5&lt;=$F28),IF(AP$5=$E28+1,$C28,""),"")</f>
        <v/>
      </c>
      <c r="AQ28" s="34">
        <f>IF(AND(AQ$5&gt;$E28,AQ$5&lt;=$F28),IF(AQ$5=$E28+1,$C28,""),"")</f>
        <v/>
      </c>
      <c r="AR28" s="34">
        <f>IF(AND(AR$5&gt;$E28,AR$5&lt;=$F28),IF(AR$5=$E28+1,$C28,""),"")</f>
        <v/>
      </c>
      <c r="AS28" s="34">
        <f>IF(AND(AS$5&gt;$E28,AS$5&lt;=$F28),IF(AS$5=$E28+1,$C28,""),"")</f>
        <v/>
      </c>
      <c r="AT28" s="34">
        <f>IF(AND(AT$5&gt;$E28,AT$5&lt;=$F28),IF(AT$5=$E28+1,$C28,""),"")</f>
        <v/>
      </c>
      <c r="AU28" s="34">
        <f>IF(AND(AU$5&gt;$E28,AU$5&lt;=$F28),IF(AU$5=$E28+1,$C28,""),"")</f>
        <v/>
      </c>
      <c r="AV28" s="34">
        <f>IF(AND(AV$5&gt;$E28,AV$5&lt;=$F28),IF(AV$5=$E28+1,$C28,""),"")</f>
        <v/>
      </c>
      <c r="AW28" s="34">
        <f>IF(AND(AW$5&gt;$E28,AW$5&lt;=$F28),IF(AW$5=$E28+1,$C28,""),"")</f>
        <v/>
      </c>
      <c r="AX28" s="34">
        <f>IF(AND(AX$5&gt;$E28,AX$5&lt;=$F28),IF(AX$5=$E28+1,$C28,""),"")</f>
        <v/>
      </c>
      <c r="AY28" s="34">
        <f>IF(AND(AY$5&gt;$E28,AY$5&lt;=$F28),IF(AY$5=$E28+1,$C28,""),"")</f>
        <v/>
      </c>
      <c r="AZ28" s="34">
        <f>IF(AND(AZ$5&gt;$E28,AZ$5&lt;=$F28),IF(AZ$5=$E28+1,$C28,""),"")</f>
        <v/>
      </c>
      <c r="BA28" s="34">
        <f>IF(AND(BA$5&gt;$E28,BA$5&lt;=$F28),IF(BA$5=$E28+1,$C28,""),"")</f>
        <v/>
      </c>
      <c r="BB28" s="34">
        <f>IF(AND(BB$5&gt;$E28,BB$5&lt;=$F28),IF(BB$5=$E28+1,$C28,""),"")</f>
        <v/>
      </c>
      <c r="BC28" s="34">
        <f>IF(AND(BC$5&gt;$E28,BC$5&lt;=$F28),IF(BC$5=$E28+1,$C28,""),"")</f>
        <v/>
      </c>
      <c r="BD28" s="34">
        <f>IF(AND(BD$5&gt;$E28,BD$5&lt;=$F28),IF(BD$5=$E28+1,$C28,""),"")</f>
        <v/>
      </c>
      <c r="BE28" s="34">
        <f>IF(AND(BE$5&gt;$E28,BE$5&lt;=$F28),IF(BE$5=$E28+1,$C28,""),"")</f>
        <v/>
      </c>
      <c r="BF28" s="34">
        <f>IF(AND(BF$5&gt;$E28,BF$5&lt;=$F28),IF(BF$5=$E28+1,$C28,""),"")</f>
        <v/>
      </c>
      <c r="BG28" s="34">
        <f>IF(AND(BG$5&gt;$E28,BG$5&lt;=$F28),IF(BG$5=$E28+1,$C28,""),"")</f>
        <v/>
      </c>
      <c r="BH28" s="34">
        <f>IF(AND(BH$5&gt;$E28,BH$5&lt;=$F28),IF(BH$5=$E28+1,$C28,""),"")</f>
        <v/>
      </c>
      <c r="BI28" s="34">
        <f>IF(AND(BI$5&gt;$E28,BI$5&lt;=$F28),IF(BI$5=$E28+1,$C28,""),"")</f>
        <v/>
      </c>
      <c r="BJ28" s="34">
        <f>IF(AND(BJ$5&gt;$E28,BJ$5&lt;=$F28),IF(BJ$5=$E28+1,$C28,""),"")</f>
        <v/>
      </c>
      <c r="BK28" s="34">
        <f>IF(AND(BK$5&gt;$E28,BK$5&lt;=$F28),IF(BK$5=$E28+1,$C28,""),"")</f>
        <v/>
      </c>
      <c r="BL28" s="34">
        <f>IF(AND(BL$5&gt;$E28,BL$5&lt;=$F28),IF(BL$5=$E28+1,$C28,""),"")</f>
        <v/>
      </c>
      <c r="BM28" s="34">
        <f>IF(AND(BM$5&gt;$E28,BM$5&lt;=$F28),IF(BM$5=$E28+1,$C28,""),"")</f>
        <v/>
      </c>
      <c r="BN28" s="34">
        <f>IF(AND(BN$5&gt;$E28,BN$5&lt;=$F28),IF(BN$5=$E28+1,$C28,""),"")</f>
        <v/>
      </c>
      <c r="BO28" s="34">
        <f>IF(AND(BO$5&gt;$E28,BO$5&lt;=$F28),IF(BO$5=$E28+1,$C28,""),"")</f>
        <v/>
      </c>
      <c r="BP28" s="34">
        <f>IF(AND(BP$5&gt;$E28,BP$5&lt;=$F28),IF(BP$5=$E28+1,$C28,""),"")</f>
        <v/>
      </c>
      <c r="BQ28" s="34">
        <f>IF(AND(BQ$5&gt;$E28,BQ$5&lt;=$F28),IF(BQ$5=$E28+1,$C28,""),"")</f>
        <v/>
      </c>
      <c r="BR28" s="34">
        <f>IF(AND(BR$5&gt;$E28,BR$5&lt;=$F28),IF(BR$5=$E28+1,$C28,""),"")</f>
        <v/>
      </c>
      <c r="BS28" s="34">
        <f>IF(AND(BS$5&gt;$E28,BS$5&lt;=$F28),IF(BS$5=$E28+1,$C28,""),"")</f>
        <v/>
      </c>
      <c r="BT28" s="34">
        <f>IF(AND(BT$5&gt;$E28,BT$5&lt;=$F28),IF(BT$5=$E28+1,$C28,""),"")</f>
        <v/>
      </c>
      <c r="BU28" s="34">
        <f>IF(AND(BU$5&gt;$E28,BU$5&lt;=$F28),IF(BU$5=$E28+1,$C28,""),"")</f>
        <v/>
      </c>
      <c r="BV28" s="34">
        <f>IF(AND(BV$5&gt;$E28,BV$5&lt;=$F28),IF(BV$5=$E28+1,$C28,""),"")</f>
        <v/>
      </c>
      <c r="BW28" s="34">
        <f>IF(AND(BW$5&gt;$E28,BW$5&lt;=$F28),IF(BW$5=$E28+1,$C28,""),"")</f>
        <v/>
      </c>
      <c r="BX28" s="34">
        <f>IF(AND(BX$5&gt;$E28,BX$5&lt;=$F28),IF(BX$5=$E28+1,$C28,""),"")</f>
        <v/>
      </c>
      <c r="BY28" s="34">
        <f>IF(AND(BY$5&gt;$E28,BY$5&lt;=$F28),IF(BY$5=$E28+1,$C28,""),"")</f>
        <v/>
      </c>
      <c r="BZ28" s="34">
        <f>IF(AND(BZ$5&gt;$E28,BZ$5&lt;=$F28),IF(BZ$5=$E28+1,$C28,""),"")</f>
        <v/>
      </c>
      <c r="CA28" s="34">
        <f>IF(AND(CA$5&gt;$E28,CA$5&lt;=$F28),IF(CA$5=$E28+1,$C28,""),"")</f>
        <v/>
      </c>
      <c r="CB28" s="34">
        <f>IF(AND(CB$5&gt;$E28,CB$5&lt;=$F28),IF(CB$5=$E28+1,$C28,""),"")</f>
        <v/>
      </c>
      <c r="CC28" s="34">
        <f>IF(AND(CC$5&gt;$E28,CC$5&lt;=$F28),IF(CC$5=$E28+1,$C28,""),"")</f>
        <v/>
      </c>
      <c r="CD28" s="34">
        <f>IF(AND(CD$5&gt;$E28,CD$5&lt;=$F28),IF(CD$5=$E28+1,$C28,""),"")</f>
        <v/>
      </c>
      <c r="CE28" s="34">
        <f>IF(AND(CE$5&gt;$E28,CE$5&lt;=$F28),IF(CE$5=$E28+1,$C28,""),"")</f>
        <v/>
      </c>
      <c r="CF28" s="34">
        <f>IF(AND(CF$5&gt;$E28,CF$5&lt;=$F28),IF(CF$5=$E28+1,$C28,""),"")</f>
        <v/>
      </c>
      <c r="CG28" s="34">
        <f>IF(AND(CG$5&gt;$E28,CG$5&lt;=$F28),IF(CG$5=$E28+1,$C28,""),"")</f>
        <v/>
      </c>
      <c r="CH28" s="34">
        <f>IF(AND(CH$5&gt;$E28,CH$5&lt;=$F28),IF(CH$5=$E28+1,$C28,""),"")</f>
        <v/>
      </c>
      <c r="CI28" s="34">
        <f>IF(AND(CI$5&gt;$E28,CI$5&lt;=$F28),IF(CI$5=$E28+1,$C28,""),"")</f>
        <v/>
      </c>
      <c r="CJ28" s="34">
        <f>IF(AND(CJ$5&gt;$E28,CJ$5&lt;=$F28),IF(CJ$5=$E28+1,$C28,""),"")</f>
        <v/>
      </c>
      <c r="CK28" s="34">
        <f>IF(AND(CK$5&gt;$E28,CK$5&lt;=$F28),IF(CK$5=$E28+1,$C28,""),"")</f>
        <v/>
      </c>
      <c r="CL28" s="34">
        <f>IF(AND(CL$5&gt;$E28,CL$5&lt;=$F28),IF(CL$5=$E28+1,$C28,""),"")</f>
        <v/>
      </c>
      <c r="CM28" s="34">
        <f>IF(AND(CM$5&gt;$E28,CM$5&lt;=$F28),IF(CM$5=$E28+1,$C28,""),"")</f>
        <v/>
      </c>
      <c r="CN28" s="34">
        <f>IF(AND(CN$5&gt;$E28,CN$5&lt;=$F28),IF(CN$5=$E28+1,$C28,""),"")</f>
        <v/>
      </c>
      <c r="CO28" s="34">
        <f>IF(AND(CO$5&gt;$E28,CO$5&lt;=$F28),IF(CO$5=$E28+1,$C28,""),"")</f>
        <v/>
      </c>
      <c r="CP28" s="34">
        <f>IF(AND(CP$5&gt;$E28,CP$5&lt;=$F28),IF(CP$5=$E28+1,$C28,""),"")</f>
        <v/>
      </c>
      <c r="CQ28" s="34">
        <f>IF(AND(CQ$5&gt;$E28,CQ$5&lt;=$F28),IF(CQ$5=$E28+1,$C28,""),"")</f>
        <v/>
      </c>
      <c r="CR28" s="34">
        <f>IF(AND(CR$5&gt;$E28,CR$5&lt;=$F28),IF(CR$5=$E28+1,$C28,""),"")</f>
        <v/>
      </c>
      <c r="CS28" s="34">
        <f>IF(AND(CS$5&gt;$E28,CS$5&lt;=$F28),IF(CS$5=$E28+1,$C28,""),"")</f>
        <v/>
      </c>
    </row>
    <row r="29">
      <c r="A29" s="32">
        <f>Plan!A23</f>
        <v/>
      </c>
      <c r="B29" s="33">
        <f>Plan!C23</f>
        <v/>
      </c>
      <c r="C29" s="16">
        <f>Plan!D23</f>
        <v/>
      </c>
      <c r="D29" s="16">
        <f>Plan!I23</f>
        <v/>
      </c>
      <c r="E29" s="16">
        <f>Plan!K23</f>
        <v/>
      </c>
      <c r="F29" s="16">
        <f>Plan!L23</f>
        <v/>
      </c>
      <c r="G29" s="16">
        <f>Plan!O23</f>
        <v/>
      </c>
      <c r="H29" s="34">
        <f>IF(AND(H$5&gt;$E29,H$5&lt;=$F29),IF(H$5=$E29+1,$C29,""),"")</f>
        <v/>
      </c>
      <c r="I29" s="34">
        <f>IF(AND(I$5&gt;$E29,I$5&lt;=$F29),IF(I$5=$E29+1,$C29,""),"")</f>
        <v/>
      </c>
      <c r="J29" s="34">
        <f>IF(AND(J$5&gt;$E29,J$5&lt;=$F29),IF(J$5=$E29+1,$C29,""),"")</f>
        <v/>
      </c>
      <c r="K29" s="34">
        <f>IF(AND(K$5&gt;$E29,K$5&lt;=$F29),IF(K$5=$E29+1,$C29,""),"")</f>
        <v/>
      </c>
      <c r="L29" s="34">
        <f>IF(AND(L$5&gt;$E29,L$5&lt;=$F29),IF(L$5=$E29+1,$C29,""),"")</f>
        <v/>
      </c>
      <c r="M29" s="34">
        <f>IF(AND(M$5&gt;$E29,M$5&lt;=$F29),IF(M$5=$E29+1,$C29,""),"")</f>
        <v/>
      </c>
      <c r="N29" s="34">
        <f>IF(AND(N$5&gt;$E29,N$5&lt;=$F29),IF(N$5=$E29+1,$C29,""),"")</f>
        <v/>
      </c>
      <c r="O29" s="34">
        <f>IF(AND(O$5&gt;$E29,O$5&lt;=$F29),IF(O$5=$E29+1,$C29,""),"")</f>
        <v/>
      </c>
      <c r="P29" s="34">
        <f>IF(AND(P$5&gt;$E29,P$5&lt;=$F29),IF(P$5=$E29+1,$C29,""),"")</f>
        <v/>
      </c>
      <c r="Q29" s="34">
        <f>IF(AND(Q$5&gt;$E29,Q$5&lt;=$F29),IF(Q$5=$E29+1,$C29,""),"")</f>
        <v/>
      </c>
      <c r="R29" s="34">
        <f>IF(AND(R$5&gt;$E29,R$5&lt;=$F29),IF(R$5=$E29+1,$C29,""),"")</f>
        <v/>
      </c>
      <c r="S29" s="34">
        <f>IF(AND(S$5&gt;$E29,S$5&lt;=$F29),IF(S$5=$E29+1,$C29,""),"")</f>
        <v/>
      </c>
      <c r="T29" s="34">
        <f>IF(AND(T$5&gt;$E29,T$5&lt;=$F29),IF(T$5=$E29+1,$C29,""),"")</f>
        <v/>
      </c>
      <c r="U29" s="34">
        <f>IF(AND(U$5&gt;$E29,U$5&lt;=$F29),IF(U$5=$E29+1,$C29,""),"")</f>
        <v/>
      </c>
      <c r="V29" s="34">
        <f>IF(AND(V$5&gt;$E29,V$5&lt;=$F29),IF(V$5=$E29+1,$C29,""),"")</f>
        <v/>
      </c>
      <c r="W29" s="34">
        <f>IF(AND(W$5&gt;$E29,W$5&lt;=$F29),IF(W$5=$E29+1,$C29,""),"")</f>
        <v/>
      </c>
      <c r="X29" s="34">
        <f>IF(AND(X$5&gt;$E29,X$5&lt;=$F29),IF(X$5=$E29+1,$C29,""),"")</f>
        <v/>
      </c>
      <c r="Y29" s="34">
        <f>IF(AND(Y$5&gt;$E29,Y$5&lt;=$F29),IF(Y$5=$E29+1,$C29,""),"")</f>
        <v/>
      </c>
      <c r="Z29" s="34">
        <f>IF(AND(Z$5&gt;$E29,Z$5&lt;=$F29),IF(Z$5=$E29+1,$C29,""),"")</f>
        <v/>
      </c>
      <c r="AA29" s="34">
        <f>IF(AND(AA$5&gt;$E29,AA$5&lt;=$F29),IF(AA$5=$E29+1,$C29,""),"")</f>
        <v/>
      </c>
      <c r="AB29" s="34">
        <f>IF(AND(AB$5&gt;$E29,AB$5&lt;=$F29),IF(AB$5=$E29+1,$C29,""),"")</f>
        <v/>
      </c>
      <c r="AC29" s="34">
        <f>IF(AND(AC$5&gt;$E29,AC$5&lt;=$F29),IF(AC$5=$E29+1,$C29,""),"")</f>
        <v/>
      </c>
      <c r="AD29" s="34">
        <f>IF(AND(AD$5&gt;$E29,AD$5&lt;=$F29),IF(AD$5=$E29+1,$C29,""),"")</f>
        <v/>
      </c>
      <c r="AE29" s="34">
        <f>IF(AND(AE$5&gt;$E29,AE$5&lt;=$F29),IF(AE$5=$E29+1,$C29,""),"")</f>
        <v/>
      </c>
      <c r="AF29" s="34">
        <f>IF(AND(AF$5&gt;$E29,AF$5&lt;=$F29),IF(AF$5=$E29+1,$C29,""),"")</f>
        <v/>
      </c>
      <c r="AG29" s="34">
        <f>IF(AND(AG$5&gt;$E29,AG$5&lt;=$F29),IF(AG$5=$E29+1,$C29,""),"")</f>
        <v/>
      </c>
      <c r="AH29" s="34">
        <f>IF(AND(AH$5&gt;$E29,AH$5&lt;=$F29),IF(AH$5=$E29+1,$C29,""),"")</f>
        <v/>
      </c>
      <c r="AI29" s="34">
        <f>IF(AND(AI$5&gt;$E29,AI$5&lt;=$F29),IF(AI$5=$E29+1,$C29,""),"")</f>
        <v/>
      </c>
      <c r="AJ29" s="34">
        <f>IF(AND(AJ$5&gt;$E29,AJ$5&lt;=$F29),IF(AJ$5=$E29+1,$C29,""),"")</f>
        <v/>
      </c>
      <c r="AK29" s="34">
        <f>IF(AND(AK$5&gt;$E29,AK$5&lt;=$F29),IF(AK$5=$E29+1,$C29,""),"")</f>
        <v/>
      </c>
      <c r="AL29" s="34">
        <f>IF(AND(AL$5&gt;$E29,AL$5&lt;=$F29),IF(AL$5=$E29+1,$C29,""),"")</f>
        <v/>
      </c>
      <c r="AM29" s="34">
        <f>IF(AND(AM$5&gt;$E29,AM$5&lt;=$F29),IF(AM$5=$E29+1,$C29,""),"")</f>
        <v/>
      </c>
      <c r="AN29" s="34">
        <f>IF(AND(AN$5&gt;$E29,AN$5&lt;=$F29),IF(AN$5=$E29+1,$C29,""),"")</f>
        <v/>
      </c>
      <c r="AO29" s="34">
        <f>IF(AND(AO$5&gt;$E29,AO$5&lt;=$F29),IF(AO$5=$E29+1,$C29,""),"")</f>
        <v/>
      </c>
      <c r="AP29" s="34">
        <f>IF(AND(AP$5&gt;$E29,AP$5&lt;=$F29),IF(AP$5=$E29+1,$C29,""),"")</f>
        <v/>
      </c>
      <c r="AQ29" s="34">
        <f>IF(AND(AQ$5&gt;$E29,AQ$5&lt;=$F29),IF(AQ$5=$E29+1,$C29,""),"")</f>
        <v/>
      </c>
      <c r="AR29" s="34">
        <f>IF(AND(AR$5&gt;$E29,AR$5&lt;=$F29),IF(AR$5=$E29+1,$C29,""),"")</f>
        <v/>
      </c>
      <c r="AS29" s="34">
        <f>IF(AND(AS$5&gt;$E29,AS$5&lt;=$F29),IF(AS$5=$E29+1,$C29,""),"")</f>
        <v/>
      </c>
      <c r="AT29" s="34">
        <f>IF(AND(AT$5&gt;$E29,AT$5&lt;=$F29),IF(AT$5=$E29+1,$C29,""),"")</f>
        <v/>
      </c>
      <c r="AU29" s="34">
        <f>IF(AND(AU$5&gt;$E29,AU$5&lt;=$F29),IF(AU$5=$E29+1,$C29,""),"")</f>
        <v/>
      </c>
      <c r="AV29" s="34">
        <f>IF(AND(AV$5&gt;$E29,AV$5&lt;=$F29),IF(AV$5=$E29+1,$C29,""),"")</f>
        <v/>
      </c>
      <c r="AW29" s="34">
        <f>IF(AND(AW$5&gt;$E29,AW$5&lt;=$F29),IF(AW$5=$E29+1,$C29,""),"")</f>
        <v/>
      </c>
      <c r="AX29" s="34">
        <f>IF(AND(AX$5&gt;$E29,AX$5&lt;=$F29),IF(AX$5=$E29+1,$C29,""),"")</f>
        <v/>
      </c>
      <c r="AY29" s="34">
        <f>IF(AND(AY$5&gt;$E29,AY$5&lt;=$F29),IF(AY$5=$E29+1,$C29,""),"")</f>
        <v/>
      </c>
      <c r="AZ29" s="34">
        <f>IF(AND(AZ$5&gt;$E29,AZ$5&lt;=$F29),IF(AZ$5=$E29+1,$C29,""),"")</f>
        <v/>
      </c>
      <c r="BA29" s="34">
        <f>IF(AND(BA$5&gt;$E29,BA$5&lt;=$F29),IF(BA$5=$E29+1,$C29,""),"")</f>
        <v/>
      </c>
      <c r="BB29" s="34">
        <f>IF(AND(BB$5&gt;$E29,BB$5&lt;=$F29),IF(BB$5=$E29+1,$C29,""),"")</f>
        <v/>
      </c>
      <c r="BC29" s="34">
        <f>IF(AND(BC$5&gt;$E29,BC$5&lt;=$F29),IF(BC$5=$E29+1,$C29,""),"")</f>
        <v/>
      </c>
      <c r="BD29" s="34">
        <f>IF(AND(BD$5&gt;$E29,BD$5&lt;=$F29),IF(BD$5=$E29+1,$C29,""),"")</f>
        <v/>
      </c>
      <c r="BE29" s="34">
        <f>IF(AND(BE$5&gt;$E29,BE$5&lt;=$F29),IF(BE$5=$E29+1,$C29,""),"")</f>
        <v/>
      </c>
      <c r="BF29" s="34">
        <f>IF(AND(BF$5&gt;$E29,BF$5&lt;=$F29),IF(BF$5=$E29+1,$C29,""),"")</f>
        <v/>
      </c>
      <c r="BG29" s="34">
        <f>IF(AND(BG$5&gt;$E29,BG$5&lt;=$F29),IF(BG$5=$E29+1,$C29,""),"")</f>
        <v/>
      </c>
      <c r="BH29" s="34">
        <f>IF(AND(BH$5&gt;$E29,BH$5&lt;=$F29),IF(BH$5=$E29+1,$C29,""),"")</f>
        <v/>
      </c>
      <c r="BI29" s="34">
        <f>IF(AND(BI$5&gt;$E29,BI$5&lt;=$F29),IF(BI$5=$E29+1,$C29,""),"")</f>
        <v/>
      </c>
      <c r="BJ29" s="34">
        <f>IF(AND(BJ$5&gt;$E29,BJ$5&lt;=$F29),IF(BJ$5=$E29+1,$C29,""),"")</f>
        <v/>
      </c>
      <c r="BK29" s="34">
        <f>IF(AND(BK$5&gt;$E29,BK$5&lt;=$F29),IF(BK$5=$E29+1,$C29,""),"")</f>
        <v/>
      </c>
      <c r="BL29" s="34">
        <f>IF(AND(BL$5&gt;$E29,BL$5&lt;=$F29),IF(BL$5=$E29+1,$C29,""),"")</f>
        <v/>
      </c>
      <c r="BM29" s="34">
        <f>IF(AND(BM$5&gt;$E29,BM$5&lt;=$F29),IF(BM$5=$E29+1,$C29,""),"")</f>
        <v/>
      </c>
      <c r="BN29" s="34">
        <f>IF(AND(BN$5&gt;$E29,BN$5&lt;=$F29),IF(BN$5=$E29+1,$C29,""),"")</f>
        <v/>
      </c>
      <c r="BO29" s="34">
        <f>IF(AND(BO$5&gt;$E29,BO$5&lt;=$F29),IF(BO$5=$E29+1,$C29,""),"")</f>
        <v/>
      </c>
      <c r="BP29" s="34">
        <f>IF(AND(BP$5&gt;$E29,BP$5&lt;=$F29),IF(BP$5=$E29+1,$C29,""),"")</f>
        <v/>
      </c>
      <c r="BQ29" s="34">
        <f>IF(AND(BQ$5&gt;$E29,BQ$5&lt;=$F29),IF(BQ$5=$E29+1,$C29,""),"")</f>
        <v/>
      </c>
      <c r="BR29" s="34">
        <f>IF(AND(BR$5&gt;$E29,BR$5&lt;=$F29),IF(BR$5=$E29+1,$C29,""),"")</f>
        <v/>
      </c>
      <c r="BS29" s="34">
        <f>IF(AND(BS$5&gt;$E29,BS$5&lt;=$F29),IF(BS$5=$E29+1,$C29,""),"")</f>
        <v/>
      </c>
      <c r="BT29" s="34">
        <f>IF(AND(BT$5&gt;$E29,BT$5&lt;=$F29),IF(BT$5=$E29+1,$C29,""),"")</f>
        <v/>
      </c>
      <c r="BU29" s="34">
        <f>IF(AND(BU$5&gt;$E29,BU$5&lt;=$F29),IF(BU$5=$E29+1,$C29,""),"")</f>
        <v/>
      </c>
      <c r="BV29" s="34">
        <f>IF(AND(BV$5&gt;$E29,BV$5&lt;=$F29),IF(BV$5=$E29+1,$C29,""),"")</f>
        <v/>
      </c>
      <c r="BW29" s="34">
        <f>IF(AND(BW$5&gt;$E29,BW$5&lt;=$F29),IF(BW$5=$E29+1,$C29,""),"")</f>
        <v/>
      </c>
      <c r="BX29" s="34">
        <f>IF(AND(BX$5&gt;$E29,BX$5&lt;=$F29),IF(BX$5=$E29+1,$C29,""),"")</f>
        <v/>
      </c>
      <c r="BY29" s="34">
        <f>IF(AND(BY$5&gt;$E29,BY$5&lt;=$F29),IF(BY$5=$E29+1,$C29,""),"")</f>
        <v/>
      </c>
      <c r="BZ29" s="34">
        <f>IF(AND(BZ$5&gt;$E29,BZ$5&lt;=$F29),IF(BZ$5=$E29+1,$C29,""),"")</f>
        <v/>
      </c>
      <c r="CA29" s="34">
        <f>IF(AND(CA$5&gt;$E29,CA$5&lt;=$F29),IF(CA$5=$E29+1,$C29,""),"")</f>
        <v/>
      </c>
      <c r="CB29" s="34">
        <f>IF(AND(CB$5&gt;$E29,CB$5&lt;=$F29),IF(CB$5=$E29+1,$C29,""),"")</f>
        <v/>
      </c>
      <c r="CC29" s="34">
        <f>IF(AND(CC$5&gt;$E29,CC$5&lt;=$F29),IF(CC$5=$E29+1,$C29,""),"")</f>
        <v/>
      </c>
      <c r="CD29" s="34">
        <f>IF(AND(CD$5&gt;$E29,CD$5&lt;=$F29),IF(CD$5=$E29+1,$C29,""),"")</f>
        <v/>
      </c>
      <c r="CE29" s="34">
        <f>IF(AND(CE$5&gt;$E29,CE$5&lt;=$F29),IF(CE$5=$E29+1,$C29,""),"")</f>
        <v/>
      </c>
      <c r="CF29" s="34">
        <f>IF(AND(CF$5&gt;$E29,CF$5&lt;=$F29),IF(CF$5=$E29+1,$C29,""),"")</f>
        <v/>
      </c>
      <c r="CG29" s="34">
        <f>IF(AND(CG$5&gt;$E29,CG$5&lt;=$F29),IF(CG$5=$E29+1,$C29,""),"")</f>
        <v/>
      </c>
      <c r="CH29" s="34">
        <f>IF(AND(CH$5&gt;$E29,CH$5&lt;=$F29),IF(CH$5=$E29+1,$C29,""),"")</f>
        <v/>
      </c>
      <c r="CI29" s="34">
        <f>IF(AND(CI$5&gt;$E29,CI$5&lt;=$F29),IF(CI$5=$E29+1,$C29,""),"")</f>
        <v/>
      </c>
      <c r="CJ29" s="34">
        <f>IF(AND(CJ$5&gt;$E29,CJ$5&lt;=$F29),IF(CJ$5=$E29+1,$C29,""),"")</f>
        <v/>
      </c>
      <c r="CK29" s="34">
        <f>IF(AND(CK$5&gt;$E29,CK$5&lt;=$F29),IF(CK$5=$E29+1,$C29,""),"")</f>
        <v/>
      </c>
      <c r="CL29" s="34">
        <f>IF(AND(CL$5&gt;$E29,CL$5&lt;=$F29),IF(CL$5=$E29+1,$C29,""),"")</f>
        <v/>
      </c>
      <c r="CM29" s="34">
        <f>IF(AND(CM$5&gt;$E29,CM$5&lt;=$F29),IF(CM$5=$E29+1,$C29,""),"")</f>
        <v/>
      </c>
      <c r="CN29" s="34">
        <f>IF(AND(CN$5&gt;$E29,CN$5&lt;=$F29),IF(CN$5=$E29+1,$C29,""),"")</f>
        <v/>
      </c>
      <c r="CO29" s="34">
        <f>IF(AND(CO$5&gt;$E29,CO$5&lt;=$F29),IF(CO$5=$E29+1,$C29,""),"")</f>
        <v/>
      </c>
      <c r="CP29" s="34">
        <f>IF(AND(CP$5&gt;$E29,CP$5&lt;=$F29),IF(CP$5=$E29+1,$C29,""),"")</f>
        <v/>
      </c>
      <c r="CQ29" s="34">
        <f>IF(AND(CQ$5&gt;$E29,CQ$5&lt;=$F29),IF(CQ$5=$E29+1,$C29,""),"")</f>
        <v/>
      </c>
      <c r="CR29" s="34">
        <f>IF(AND(CR$5&gt;$E29,CR$5&lt;=$F29),IF(CR$5=$E29+1,$C29,""),"")</f>
        <v/>
      </c>
      <c r="CS29" s="34">
        <f>IF(AND(CS$5&gt;$E29,CS$5&lt;=$F29),IF(CS$5=$E29+1,$C29,""),"")</f>
        <v/>
      </c>
    </row>
    <row r="30">
      <c r="A30" s="32">
        <f>Plan!A24</f>
        <v/>
      </c>
      <c r="B30" s="33">
        <f>Plan!C24</f>
        <v/>
      </c>
      <c r="C30" s="16">
        <f>Plan!D24</f>
        <v/>
      </c>
      <c r="D30" s="16">
        <f>Plan!I24</f>
        <v/>
      </c>
      <c r="E30" s="16">
        <f>Plan!K24</f>
        <v/>
      </c>
      <c r="F30" s="16">
        <f>Plan!L24</f>
        <v/>
      </c>
      <c r="G30" s="16">
        <f>Plan!O24</f>
        <v/>
      </c>
      <c r="H30" s="34">
        <f>IF(AND(H$5&gt;$E30,H$5&lt;=$F30),IF(H$5=$E30+1,$C30,""),"")</f>
        <v/>
      </c>
      <c r="I30" s="34">
        <f>IF(AND(I$5&gt;$E30,I$5&lt;=$F30),IF(I$5=$E30+1,$C30,""),"")</f>
        <v/>
      </c>
      <c r="J30" s="34">
        <f>IF(AND(J$5&gt;$E30,J$5&lt;=$F30),IF(J$5=$E30+1,$C30,""),"")</f>
        <v/>
      </c>
      <c r="K30" s="34">
        <f>IF(AND(K$5&gt;$E30,K$5&lt;=$F30),IF(K$5=$E30+1,$C30,""),"")</f>
        <v/>
      </c>
      <c r="L30" s="34">
        <f>IF(AND(L$5&gt;$E30,L$5&lt;=$F30),IF(L$5=$E30+1,$C30,""),"")</f>
        <v/>
      </c>
      <c r="M30" s="34">
        <f>IF(AND(M$5&gt;$E30,M$5&lt;=$F30),IF(M$5=$E30+1,$C30,""),"")</f>
        <v/>
      </c>
      <c r="N30" s="34">
        <f>IF(AND(N$5&gt;$E30,N$5&lt;=$F30),IF(N$5=$E30+1,$C30,""),"")</f>
        <v/>
      </c>
      <c r="O30" s="34">
        <f>IF(AND(O$5&gt;$E30,O$5&lt;=$F30),IF(O$5=$E30+1,$C30,""),"")</f>
        <v/>
      </c>
      <c r="P30" s="34">
        <f>IF(AND(P$5&gt;$E30,P$5&lt;=$F30),IF(P$5=$E30+1,$C30,""),"")</f>
        <v/>
      </c>
      <c r="Q30" s="34">
        <f>IF(AND(Q$5&gt;$E30,Q$5&lt;=$F30),IF(Q$5=$E30+1,$C30,""),"")</f>
        <v/>
      </c>
      <c r="R30" s="34">
        <f>IF(AND(R$5&gt;$E30,R$5&lt;=$F30),IF(R$5=$E30+1,$C30,""),"")</f>
        <v/>
      </c>
      <c r="S30" s="34">
        <f>IF(AND(S$5&gt;$E30,S$5&lt;=$F30),IF(S$5=$E30+1,$C30,""),"")</f>
        <v/>
      </c>
      <c r="T30" s="34">
        <f>IF(AND(T$5&gt;$E30,T$5&lt;=$F30),IF(T$5=$E30+1,$C30,""),"")</f>
        <v/>
      </c>
      <c r="U30" s="34">
        <f>IF(AND(U$5&gt;$E30,U$5&lt;=$F30),IF(U$5=$E30+1,$C30,""),"")</f>
        <v/>
      </c>
      <c r="V30" s="34">
        <f>IF(AND(V$5&gt;$E30,V$5&lt;=$F30),IF(V$5=$E30+1,$C30,""),"")</f>
        <v/>
      </c>
      <c r="W30" s="34">
        <f>IF(AND(W$5&gt;$E30,W$5&lt;=$F30),IF(W$5=$E30+1,$C30,""),"")</f>
        <v/>
      </c>
      <c r="X30" s="34">
        <f>IF(AND(X$5&gt;$E30,X$5&lt;=$F30),IF(X$5=$E30+1,$C30,""),"")</f>
        <v/>
      </c>
      <c r="Y30" s="34">
        <f>IF(AND(Y$5&gt;$E30,Y$5&lt;=$F30),IF(Y$5=$E30+1,$C30,""),"")</f>
        <v/>
      </c>
      <c r="Z30" s="34">
        <f>IF(AND(Z$5&gt;$E30,Z$5&lt;=$F30),IF(Z$5=$E30+1,$C30,""),"")</f>
        <v/>
      </c>
      <c r="AA30" s="34">
        <f>IF(AND(AA$5&gt;$E30,AA$5&lt;=$F30),IF(AA$5=$E30+1,$C30,""),"")</f>
        <v/>
      </c>
      <c r="AB30" s="34">
        <f>IF(AND(AB$5&gt;$E30,AB$5&lt;=$F30),IF(AB$5=$E30+1,$C30,""),"")</f>
        <v/>
      </c>
      <c r="AC30" s="34">
        <f>IF(AND(AC$5&gt;$E30,AC$5&lt;=$F30),IF(AC$5=$E30+1,$C30,""),"")</f>
        <v/>
      </c>
      <c r="AD30" s="34">
        <f>IF(AND(AD$5&gt;$E30,AD$5&lt;=$F30),IF(AD$5=$E30+1,$C30,""),"")</f>
        <v/>
      </c>
      <c r="AE30" s="34">
        <f>IF(AND(AE$5&gt;$E30,AE$5&lt;=$F30),IF(AE$5=$E30+1,$C30,""),"")</f>
        <v/>
      </c>
      <c r="AF30" s="34">
        <f>IF(AND(AF$5&gt;$E30,AF$5&lt;=$F30),IF(AF$5=$E30+1,$C30,""),"")</f>
        <v/>
      </c>
      <c r="AG30" s="34">
        <f>IF(AND(AG$5&gt;$E30,AG$5&lt;=$F30),IF(AG$5=$E30+1,$C30,""),"")</f>
        <v/>
      </c>
      <c r="AH30" s="34">
        <f>IF(AND(AH$5&gt;$E30,AH$5&lt;=$F30),IF(AH$5=$E30+1,$C30,""),"")</f>
        <v/>
      </c>
      <c r="AI30" s="34">
        <f>IF(AND(AI$5&gt;$E30,AI$5&lt;=$F30),IF(AI$5=$E30+1,$C30,""),"")</f>
        <v/>
      </c>
      <c r="AJ30" s="34">
        <f>IF(AND(AJ$5&gt;$E30,AJ$5&lt;=$F30),IF(AJ$5=$E30+1,$C30,""),"")</f>
        <v/>
      </c>
      <c r="AK30" s="34">
        <f>IF(AND(AK$5&gt;$E30,AK$5&lt;=$F30),IF(AK$5=$E30+1,$C30,""),"")</f>
        <v/>
      </c>
      <c r="AL30" s="34">
        <f>IF(AND(AL$5&gt;$E30,AL$5&lt;=$F30),IF(AL$5=$E30+1,$C30,""),"")</f>
        <v/>
      </c>
      <c r="AM30" s="34">
        <f>IF(AND(AM$5&gt;$E30,AM$5&lt;=$F30),IF(AM$5=$E30+1,$C30,""),"")</f>
        <v/>
      </c>
      <c r="AN30" s="34">
        <f>IF(AND(AN$5&gt;$E30,AN$5&lt;=$F30),IF(AN$5=$E30+1,$C30,""),"")</f>
        <v/>
      </c>
      <c r="AO30" s="34">
        <f>IF(AND(AO$5&gt;$E30,AO$5&lt;=$F30),IF(AO$5=$E30+1,$C30,""),"")</f>
        <v/>
      </c>
      <c r="AP30" s="34">
        <f>IF(AND(AP$5&gt;$E30,AP$5&lt;=$F30),IF(AP$5=$E30+1,$C30,""),"")</f>
        <v/>
      </c>
      <c r="AQ30" s="34">
        <f>IF(AND(AQ$5&gt;$E30,AQ$5&lt;=$F30),IF(AQ$5=$E30+1,$C30,""),"")</f>
        <v/>
      </c>
      <c r="AR30" s="34">
        <f>IF(AND(AR$5&gt;$E30,AR$5&lt;=$F30),IF(AR$5=$E30+1,$C30,""),"")</f>
        <v/>
      </c>
      <c r="AS30" s="34">
        <f>IF(AND(AS$5&gt;$E30,AS$5&lt;=$F30),IF(AS$5=$E30+1,$C30,""),"")</f>
        <v/>
      </c>
      <c r="AT30" s="34">
        <f>IF(AND(AT$5&gt;$E30,AT$5&lt;=$F30),IF(AT$5=$E30+1,$C30,""),"")</f>
        <v/>
      </c>
      <c r="AU30" s="34">
        <f>IF(AND(AU$5&gt;$E30,AU$5&lt;=$F30),IF(AU$5=$E30+1,$C30,""),"")</f>
        <v/>
      </c>
      <c r="AV30" s="34">
        <f>IF(AND(AV$5&gt;$E30,AV$5&lt;=$F30),IF(AV$5=$E30+1,$C30,""),"")</f>
        <v/>
      </c>
      <c r="AW30" s="34">
        <f>IF(AND(AW$5&gt;$E30,AW$5&lt;=$F30),IF(AW$5=$E30+1,$C30,""),"")</f>
        <v/>
      </c>
      <c r="AX30" s="34">
        <f>IF(AND(AX$5&gt;$E30,AX$5&lt;=$F30),IF(AX$5=$E30+1,$C30,""),"")</f>
        <v/>
      </c>
      <c r="AY30" s="34">
        <f>IF(AND(AY$5&gt;$E30,AY$5&lt;=$F30),IF(AY$5=$E30+1,$C30,""),"")</f>
        <v/>
      </c>
      <c r="AZ30" s="34">
        <f>IF(AND(AZ$5&gt;$E30,AZ$5&lt;=$F30),IF(AZ$5=$E30+1,$C30,""),"")</f>
        <v/>
      </c>
      <c r="BA30" s="34">
        <f>IF(AND(BA$5&gt;$E30,BA$5&lt;=$F30),IF(BA$5=$E30+1,$C30,""),"")</f>
        <v/>
      </c>
      <c r="BB30" s="34">
        <f>IF(AND(BB$5&gt;$E30,BB$5&lt;=$F30),IF(BB$5=$E30+1,$C30,""),"")</f>
        <v/>
      </c>
      <c r="BC30" s="34">
        <f>IF(AND(BC$5&gt;$E30,BC$5&lt;=$F30),IF(BC$5=$E30+1,$C30,""),"")</f>
        <v/>
      </c>
      <c r="BD30" s="34">
        <f>IF(AND(BD$5&gt;$E30,BD$5&lt;=$F30),IF(BD$5=$E30+1,$C30,""),"")</f>
        <v/>
      </c>
      <c r="BE30" s="34">
        <f>IF(AND(BE$5&gt;$E30,BE$5&lt;=$F30),IF(BE$5=$E30+1,$C30,""),"")</f>
        <v/>
      </c>
      <c r="BF30" s="34">
        <f>IF(AND(BF$5&gt;$E30,BF$5&lt;=$F30),IF(BF$5=$E30+1,$C30,""),"")</f>
        <v/>
      </c>
      <c r="BG30" s="34">
        <f>IF(AND(BG$5&gt;$E30,BG$5&lt;=$F30),IF(BG$5=$E30+1,$C30,""),"")</f>
        <v/>
      </c>
      <c r="BH30" s="34">
        <f>IF(AND(BH$5&gt;$E30,BH$5&lt;=$F30),IF(BH$5=$E30+1,$C30,""),"")</f>
        <v/>
      </c>
      <c r="BI30" s="34">
        <f>IF(AND(BI$5&gt;$E30,BI$5&lt;=$F30),IF(BI$5=$E30+1,$C30,""),"")</f>
        <v/>
      </c>
      <c r="BJ30" s="34">
        <f>IF(AND(BJ$5&gt;$E30,BJ$5&lt;=$F30),IF(BJ$5=$E30+1,$C30,""),"")</f>
        <v/>
      </c>
      <c r="BK30" s="34">
        <f>IF(AND(BK$5&gt;$E30,BK$5&lt;=$F30),IF(BK$5=$E30+1,$C30,""),"")</f>
        <v/>
      </c>
      <c r="BL30" s="34">
        <f>IF(AND(BL$5&gt;$E30,BL$5&lt;=$F30),IF(BL$5=$E30+1,$C30,""),"")</f>
        <v/>
      </c>
      <c r="BM30" s="34">
        <f>IF(AND(BM$5&gt;$E30,BM$5&lt;=$F30),IF(BM$5=$E30+1,$C30,""),"")</f>
        <v/>
      </c>
      <c r="BN30" s="34">
        <f>IF(AND(BN$5&gt;$E30,BN$5&lt;=$F30),IF(BN$5=$E30+1,$C30,""),"")</f>
        <v/>
      </c>
      <c r="BO30" s="34">
        <f>IF(AND(BO$5&gt;$E30,BO$5&lt;=$F30),IF(BO$5=$E30+1,$C30,""),"")</f>
        <v/>
      </c>
      <c r="BP30" s="34">
        <f>IF(AND(BP$5&gt;$E30,BP$5&lt;=$F30),IF(BP$5=$E30+1,$C30,""),"")</f>
        <v/>
      </c>
      <c r="BQ30" s="34">
        <f>IF(AND(BQ$5&gt;$E30,BQ$5&lt;=$F30),IF(BQ$5=$E30+1,$C30,""),"")</f>
        <v/>
      </c>
      <c r="BR30" s="34">
        <f>IF(AND(BR$5&gt;$E30,BR$5&lt;=$F30),IF(BR$5=$E30+1,$C30,""),"")</f>
        <v/>
      </c>
      <c r="BS30" s="34">
        <f>IF(AND(BS$5&gt;$E30,BS$5&lt;=$F30),IF(BS$5=$E30+1,$C30,""),"")</f>
        <v/>
      </c>
      <c r="BT30" s="34">
        <f>IF(AND(BT$5&gt;$E30,BT$5&lt;=$F30),IF(BT$5=$E30+1,$C30,""),"")</f>
        <v/>
      </c>
      <c r="BU30" s="34">
        <f>IF(AND(BU$5&gt;$E30,BU$5&lt;=$F30),IF(BU$5=$E30+1,$C30,""),"")</f>
        <v/>
      </c>
      <c r="BV30" s="34">
        <f>IF(AND(BV$5&gt;$E30,BV$5&lt;=$F30),IF(BV$5=$E30+1,$C30,""),"")</f>
        <v/>
      </c>
      <c r="BW30" s="34">
        <f>IF(AND(BW$5&gt;$E30,BW$5&lt;=$F30),IF(BW$5=$E30+1,$C30,""),"")</f>
        <v/>
      </c>
      <c r="BX30" s="34">
        <f>IF(AND(BX$5&gt;$E30,BX$5&lt;=$F30),IF(BX$5=$E30+1,$C30,""),"")</f>
        <v/>
      </c>
      <c r="BY30" s="34">
        <f>IF(AND(BY$5&gt;$E30,BY$5&lt;=$F30),IF(BY$5=$E30+1,$C30,""),"")</f>
        <v/>
      </c>
      <c r="BZ30" s="34">
        <f>IF(AND(BZ$5&gt;$E30,BZ$5&lt;=$F30),IF(BZ$5=$E30+1,$C30,""),"")</f>
        <v/>
      </c>
      <c r="CA30" s="34">
        <f>IF(AND(CA$5&gt;$E30,CA$5&lt;=$F30),IF(CA$5=$E30+1,$C30,""),"")</f>
        <v/>
      </c>
      <c r="CB30" s="34">
        <f>IF(AND(CB$5&gt;$E30,CB$5&lt;=$F30),IF(CB$5=$E30+1,$C30,""),"")</f>
        <v/>
      </c>
      <c r="CC30" s="34">
        <f>IF(AND(CC$5&gt;$E30,CC$5&lt;=$F30),IF(CC$5=$E30+1,$C30,""),"")</f>
        <v/>
      </c>
      <c r="CD30" s="34">
        <f>IF(AND(CD$5&gt;$E30,CD$5&lt;=$F30),IF(CD$5=$E30+1,$C30,""),"")</f>
        <v/>
      </c>
      <c r="CE30" s="34">
        <f>IF(AND(CE$5&gt;$E30,CE$5&lt;=$F30),IF(CE$5=$E30+1,$C30,""),"")</f>
        <v/>
      </c>
      <c r="CF30" s="34">
        <f>IF(AND(CF$5&gt;$E30,CF$5&lt;=$F30),IF(CF$5=$E30+1,$C30,""),"")</f>
        <v/>
      </c>
      <c r="CG30" s="34">
        <f>IF(AND(CG$5&gt;$E30,CG$5&lt;=$F30),IF(CG$5=$E30+1,$C30,""),"")</f>
        <v/>
      </c>
      <c r="CH30" s="34">
        <f>IF(AND(CH$5&gt;$E30,CH$5&lt;=$F30),IF(CH$5=$E30+1,$C30,""),"")</f>
        <v/>
      </c>
      <c r="CI30" s="34">
        <f>IF(AND(CI$5&gt;$E30,CI$5&lt;=$F30),IF(CI$5=$E30+1,$C30,""),"")</f>
        <v/>
      </c>
      <c r="CJ30" s="34">
        <f>IF(AND(CJ$5&gt;$E30,CJ$5&lt;=$F30),IF(CJ$5=$E30+1,$C30,""),"")</f>
        <v/>
      </c>
      <c r="CK30" s="34">
        <f>IF(AND(CK$5&gt;$E30,CK$5&lt;=$F30),IF(CK$5=$E30+1,$C30,""),"")</f>
        <v/>
      </c>
      <c r="CL30" s="34">
        <f>IF(AND(CL$5&gt;$E30,CL$5&lt;=$F30),IF(CL$5=$E30+1,$C30,""),"")</f>
        <v/>
      </c>
      <c r="CM30" s="34">
        <f>IF(AND(CM$5&gt;$E30,CM$5&lt;=$F30),IF(CM$5=$E30+1,$C30,""),"")</f>
        <v/>
      </c>
      <c r="CN30" s="34">
        <f>IF(AND(CN$5&gt;$E30,CN$5&lt;=$F30),IF(CN$5=$E30+1,$C30,""),"")</f>
        <v/>
      </c>
      <c r="CO30" s="34">
        <f>IF(AND(CO$5&gt;$E30,CO$5&lt;=$F30),IF(CO$5=$E30+1,$C30,""),"")</f>
        <v/>
      </c>
      <c r="CP30" s="34">
        <f>IF(AND(CP$5&gt;$E30,CP$5&lt;=$F30),IF(CP$5=$E30+1,$C30,""),"")</f>
        <v/>
      </c>
      <c r="CQ30" s="34">
        <f>IF(AND(CQ$5&gt;$E30,CQ$5&lt;=$F30),IF(CQ$5=$E30+1,$C30,""),"")</f>
        <v/>
      </c>
      <c r="CR30" s="34">
        <f>IF(AND(CR$5&gt;$E30,CR$5&lt;=$F30),IF(CR$5=$E30+1,$C30,""),"")</f>
        <v/>
      </c>
      <c r="CS30" s="34">
        <f>IF(AND(CS$5&gt;$E30,CS$5&lt;=$F30),IF(CS$5=$E30+1,$C30,""),"")</f>
        <v/>
      </c>
    </row>
    <row r="31">
      <c r="A31" s="32">
        <f>Plan!A25</f>
        <v/>
      </c>
      <c r="B31" s="33">
        <f>Plan!C25</f>
        <v/>
      </c>
      <c r="C31" s="16">
        <f>Plan!D25</f>
        <v/>
      </c>
      <c r="D31" s="16">
        <f>Plan!I25</f>
        <v/>
      </c>
      <c r="E31" s="16">
        <f>Plan!K25</f>
        <v/>
      </c>
      <c r="F31" s="16">
        <f>Plan!L25</f>
        <v/>
      </c>
      <c r="G31" s="16">
        <f>Plan!O25</f>
        <v/>
      </c>
      <c r="H31" s="34">
        <f>IF(AND(H$5&gt;$E31,H$5&lt;=$F31),IF(H$5=$E31+1,$C31,""),"")</f>
        <v/>
      </c>
      <c r="I31" s="34">
        <f>IF(AND(I$5&gt;$E31,I$5&lt;=$F31),IF(I$5=$E31+1,$C31,""),"")</f>
        <v/>
      </c>
      <c r="J31" s="34">
        <f>IF(AND(J$5&gt;$E31,J$5&lt;=$F31),IF(J$5=$E31+1,$C31,""),"")</f>
        <v/>
      </c>
      <c r="K31" s="34">
        <f>IF(AND(K$5&gt;$E31,K$5&lt;=$F31),IF(K$5=$E31+1,$C31,""),"")</f>
        <v/>
      </c>
      <c r="L31" s="34">
        <f>IF(AND(L$5&gt;$E31,L$5&lt;=$F31),IF(L$5=$E31+1,$C31,""),"")</f>
        <v/>
      </c>
      <c r="M31" s="34">
        <f>IF(AND(M$5&gt;$E31,M$5&lt;=$F31),IF(M$5=$E31+1,$C31,""),"")</f>
        <v/>
      </c>
      <c r="N31" s="34">
        <f>IF(AND(N$5&gt;$E31,N$5&lt;=$F31),IF(N$5=$E31+1,$C31,""),"")</f>
        <v/>
      </c>
      <c r="O31" s="34">
        <f>IF(AND(O$5&gt;$E31,O$5&lt;=$F31),IF(O$5=$E31+1,$C31,""),"")</f>
        <v/>
      </c>
      <c r="P31" s="34">
        <f>IF(AND(P$5&gt;$E31,P$5&lt;=$F31),IF(P$5=$E31+1,$C31,""),"")</f>
        <v/>
      </c>
      <c r="Q31" s="34">
        <f>IF(AND(Q$5&gt;$E31,Q$5&lt;=$F31),IF(Q$5=$E31+1,$C31,""),"")</f>
        <v/>
      </c>
      <c r="R31" s="34">
        <f>IF(AND(R$5&gt;$E31,R$5&lt;=$F31),IF(R$5=$E31+1,$C31,""),"")</f>
        <v/>
      </c>
      <c r="S31" s="34">
        <f>IF(AND(S$5&gt;$E31,S$5&lt;=$F31),IF(S$5=$E31+1,$C31,""),"")</f>
        <v/>
      </c>
      <c r="T31" s="34">
        <f>IF(AND(T$5&gt;$E31,T$5&lt;=$F31),IF(T$5=$E31+1,$C31,""),"")</f>
        <v/>
      </c>
      <c r="U31" s="34">
        <f>IF(AND(U$5&gt;$E31,U$5&lt;=$F31),IF(U$5=$E31+1,$C31,""),"")</f>
        <v/>
      </c>
      <c r="V31" s="34">
        <f>IF(AND(V$5&gt;$E31,V$5&lt;=$F31),IF(V$5=$E31+1,$C31,""),"")</f>
        <v/>
      </c>
      <c r="W31" s="34">
        <f>IF(AND(W$5&gt;$E31,W$5&lt;=$F31),IF(W$5=$E31+1,$C31,""),"")</f>
        <v/>
      </c>
      <c r="X31" s="34">
        <f>IF(AND(X$5&gt;$E31,X$5&lt;=$F31),IF(X$5=$E31+1,$C31,""),"")</f>
        <v/>
      </c>
      <c r="Y31" s="34">
        <f>IF(AND(Y$5&gt;$E31,Y$5&lt;=$F31),IF(Y$5=$E31+1,$C31,""),"")</f>
        <v/>
      </c>
      <c r="Z31" s="34">
        <f>IF(AND(Z$5&gt;$E31,Z$5&lt;=$F31),IF(Z$5=$E31+1,$C31,""),"")</f>
        <v/>
      </c>
      <c r="AA31" s="34">
        <f>IF(AND(AA$5&gt;$E31,AA$5&lt;=$F31),IF(AA$5=$E31+1,$C31,""),"")</f>
        <v/>
      </c>
      <c r="AB31" s="34">
        <f>IF(AND(AB$5&gt;$E31,AB$5&lt;=$F31),IF(AB$5=$E31+1,$C31,""),"")</f>
        <v/>
      </c>
      <c r="AC31" s="34">
        <f>IF(AND(AC$5&gt;$E31,AC$5&lt;=$F31),IF(AC$5=$E31+1,$C31,""),"")</f>
        <v/>
      </c>
      <c r="AD31" s="34">
        <f>IF(AND(AD$5&gt;$E31,AD$5&lt;=$F31),IF(AD$5=$E31+1,$C31,""),"")</f>
        <v/>
      </c>
      <c r="AE31" s="34">
        <f>IF(AND(AE$5&gt;$E31,AE$5&lt;=$F31),IF(AE$5=$E31+1,$C31,""),"")</f>
        <v/>
      </c>
      <c r="AF31" s="34">
        <f>IF(AND(AF$5&gt;$E31,AF$5&lt;=$F31),IF(AF$5=$E31+1,$C31,""),"")</f>
        <v/>
      </c>
      <c r="AG31" s="34">
        <f>IF(AND(AG$5&gt;$E31,AG$5&lt;=$F31),IF(AG$5=$E31+1,$C31,""),"")</f>
        <v/>
      </c>
      <c r="AH31" s="34">
        <f>IF(AND(AH$5&gt;$E31,AH$5&lt;=$F31),IF(AH$5=$E31+1,$C31,""),"")</f>
        <v/>
      </c>
      <c r="AI31" s="34">
        <f>IF(AND(AI$5&gt;$E31,AI$5&lt;=$F31),IF(AI$5=$E31+1,$C31,""),"")</f>
        <v/>
      </c>
      <c r="AJ31" s="34">
        <f>IF(AND(AJ$5&gt;$E31,AJ$5&lt;=$F31),IF(AJ$5=$E31+1,$C31,""),"")</f>
        <v/>
      </c>
      <c r="AK31" s="34">
        <f>IF(AND(AK$5&gt;$E31,AK$5&lt;=$F31),IF(AK$5=$E31+1,$C31,""),"")</f>
        <v/>
      </c>
      <c r="AL31" s="34">
        <f>IF(AND(AL$5&gt;$E31,AL$5&lt;=$F31),IF(AL$5=$E31+1,$C31,""),"")</f>
        <v/>
      </c>
      <c r="AM31" s="34">
        <f>IF(AND(AM$5&gt;$E31,AM$5&lt;=$F31),IF(AM$5=$E31+1,$C31,""),"")</f>
        <v/>
      </c>
      <c r="AN31" s="34">
        <f>IF(AND(AN$5&gt;$E31,AN$5&lt;=$F31),IF(AN$5=$E31+1,$C31,""),"")</f>
        <v/>
      </c>
      <c r="AO31" s="34">
        <f>IF(AND(AO$5&gt;$E31,AO$5&lt;=$F31),IF(AO$5=$E31+1,$C31,""),"")</f>
        <v/>
      </c>
      <c r="AP31" s="34">
        <f>IF(AND(AP$5&gt;$E31,AP$5&lt;=$F31),IF(AP$5=$E31+1,$C31,""),"")</f>
        <v/>
      </c>
      <c r="AQ31" s="34">
        <f>IF(AND(AQ$5&gt;$E31,AQ$5&lt;=$F31),IF(AQ$5=$E31+1,$C31,""),"")</f>
        <v/>
      </c>
      <c r="AR31" s="34">
        <f>IF(AND(AR$5&gt;$E31,AR$5&lt;=$F31),IF(AR$5=$E31+1,$C31,""),"")</f>
        <v/>
      </c>
      <c r="AS31" s="34">
        <f>IF(AND(AS$5&gt;$E31,AS$5&lt;=$F31),IF(AS$5=$E31+1,$C31,""),"")</f>
        <v/>
      </c>
      <c r="AT31" s="34">
        <f>IF(AND(AT$5&gt;$E31,AT$5&lt;=$F31),IF(AT$5=$E31+1,$C31,""),"")</f>
        <v/>
      </c>
      <c r="AU31" s="34">
        <f>IF(AND(AU$5&gt;$E31,AU$5&lt;=$F31),IF(AU$5=$E31+1,$C31,""),"")</f>
        <v/>
      </c>
      <c r="AV31" s="34">
        <f>IF(AND(AV$5&gt;$E31,AV$5&lt;=$F31),IF(AV$5=$E31+1,$C31,""),"")</f>
        <v/>
      </c>
      <c r="AW31" s="34">
        <f>IF(AND(AW$5&gt;$E31,AW$5&lt;=$F31),IF(AW$5=$E31+1,$C31,""),"")</f>
        <v/>
      </c>
      <c r="AX31" s="34">
        <f>IF(AND(AX$5&gt;$E31,AX$5&lt;=$F31),IF(AX$5=$E31+1,$C31,""),"")</f>
        <v/>
      </c>
      <c r="AY31" s="34">
        <f>IF(AND(AY$5&gt;$E31,AY$5&lt;=$F31),IF(AY$5=$E31+1,$C31,""),"")</f>
        <v/>
      </c>
      <c r="AZ31" s="34">
        <f>IF(AND(AZ$5&gt;$E31,AZ$5&lt;=$F31),IF(AZ$5=$E31+1,$C31,""),"")</f>
        <v/>
      </c>
      <c r="BA31" s="34">
        <f>IF(AND(BA$5&gt;$E31,BA$5&lt;=$F31),IF(BA$5=$E31+1,$C31,""),"")</f>
        <v/>
      </c>
      <c r="BB31" s="34">
        <f>IF(AND(BB$5&gt;$E31,BB$5&lt;=$F31),IF(BB$5=$E31+1,$C31,""),"")</f>
        <v/>
      </c>
      <c r="BC31" s="34">
        <f>IF(AND(BC$5&gt;$E31,BC$5&lt;=$F31),IF(BC$5=$E31+1,$C31,""),"")</f>
        <v/>
      </c>
      <c r="BD31" s="34">
        <f>IF(AND(BD$5&gt;$E31,BD$5&lt;=$F31),IF(BD$5=$E31+1,$C31,""),"")</f>
        <v/>
      </c>
      <c r="BE31" s="34">
        <f>IF(AND(BE$5&gt;$E31,BE$5&lt;=$F31),IF(BE$5=$E31+1,$C31,""),"")</f>
        <v/>
      </c>
      <c r="BF31" s="34">
        <f>IF(AND(BF$5&gt;$E31,BF$5&lt;=$F31),IF(BF$5=$E31+1,$C31,""),"")</f>
        <v/>
      </c>
      <c r="BG31" s="34">
        <f>IF(AND(BG$5&gt;$E31,BG$5&lt;=$F31),IF(BG$5=$E31+1,$C31,""),"")</f>
        <v/>
      </c>
      <c r="BH31" s="34">
        <f>IF(AND(BH$5&gt;$E31,BH$5&lt;=$F31),IF(BH$5=$E31+1,$C31,""),"")</f>
        <v/>
      </c>
      <c r="BI31" s="34">
        <f>IF(AND(BI$5&gt;$E31,BI$5&lt;=$F31),IF(BI$5=$E31+1,$C31,""),"")</f>
        <v/>
      </c>
      <c r="BJ31" s="34">
        <f>IF(AND(BJ$5&gt;$E31,BJ$5&lt;=$F31),IF(BJ$5=$E31+1,$C31,""),"")</f>
        <v/>
      </c>
      <c r="BK31" s="34">
        <f>IF(AND(BK$5&gt;$E31,BK$5&lt;=$F31),IF(BK$5=$E31+1,$C31,""),"")</f>
        <v/>
      </c>
      <c r="BL31" s="34">
        <f>IF(AND(BL$5&gt;$E31,BL$5&lt;=$F31),IF(BL$5=$E31+1,$C31,""),"")</f>
        <v/>
      </c>
      <c r="BM31" s="34">
        <f>IF(AND(BM$5&gt;$E31,BM$5&lt;=$F31),IF(BM$5=$E31+1,$C31,""),"")</f>
        <v/>
      </c>
      <c r="BN31" s="34">
        <f>IF(AND(BN$5&gt;$E31,BN$5&lt;=$F31),IF(BN$5=$E31+1,$C31,""),"")</f>
        <v/>
      </c>
      <c r="BO31" s="34">
        <f>IF(AND(BO$5&gt;$E31,BO$5&lt;=$F31),IF(BO$5=$E31+1,$C31,""),"")</f>
        <v/>
      </c>
      <c r="BP31" s="34">
        <f>IF(AND(BP$5&gt;$E31,BP$5&lt;=$F31),IF(BP$5=$E31+1,$C31,""),"")</f>
        <v/>
      </c>
      <c r="BQ31" s="34">
        <f>IF(AND(BQ$5&gt;$E31,BQ$5&lt;=$F31),IF(BQ$5=$E31+1,$C31,""),"")</f>
        <v/>
      </c>
      <c r="BR31" s="34">
        <f>IF(AND(BR$5&gt;$E31,BR$5&lt;=$F31),IF(BR$5=$E31+1,$C31,""),"")</f>
        <v/>
      </c>
      <c r="BS31" s="34">
        <f>IF(AND(BS$5&gt;$E31,BS$5&lt;=$F31),IF(BS$5=$E31+1,$C31,""),"")</f>
        <v/>
      </c>
      <c r="BT31" s="34">
        <f>IF(AND(BT$5&gt;$E31,BT$5&lt;=$F31),IF(BT$5=$E31+1,$C31,""),"")</f>
        <v/>
      </c>
      <c r="BU31" s="34">
        <f>IF(AND(BU$5&gt;$E31,BU$5&lt;=$F31),IF(BU$5=$E31+1,$C31,""),"")</f>
        <v/>
      </c>
      <c r="BV31" s="34">
        <f>IF(AND(BV$5&gt;$E31,BV$5&lt;=$F31),IF(BV$5=$E31+1,$C31,""),"")</f>
        <v/>
      </c>
      <c r="BW31" s="34">
        <f>IF(AND(BW$5&gt;$E31,BW$5&lt;=$F31),IF(BW$5=$E31+1,$C31,""),"")</f>
        <v/>
      </c>
      <c r="BX31" s="34">
        <f>IF(AND(BX$5&gt;$E31,BX$5&lt;=$F31),IF(BX$5=$E31+1,$C31,""),"")</f>
        <v/>
      </c>
      <c r="BY31" s="34">
        <f>IF(AND(BY$5&gt;$E31,BY$5&lt;=$F31),IF(BY$5=$E31+1,$C31,""),"")</f>
        <v/>
      </c>
      <c r="BZ31" s="34">
        <f>IF(AND(BZ$5&gt;$E31,BZ$5&lt;=$F31),IF(BZ$5=$E31+1,$C31,""),"")</f>
        <v/>
      </c>
      <c r="CA31" s="34">
        <f>IF(AND(CA$5&gt;$E31,CA$5&lt;=$F31),IF(CA$5=$E31+1,$C31,""),"")</f>
        <v/>
      </c>
      <c r="CB31" s="34">
        <f>IF(AND(CB$5&gt;$E31,CB$5&lt;=$F31),IF(CB$5=$E31+1,$C31,""),"")</f>
        <v/>
      </c>
      <c r="CC31" s="34">
        <f>IF(AND(CC$5&gt;$E31,CC$5&lt;=$F31),IF(CC$5=$E31+1,$C31,""),"")</f>
        <v/>
      </c>
      <c r="CD31" s="34">
        <f>IF(AND(CD$5&gt;$E31,CD$5&lt;=$F31),IF(CD$5=$E31+1,$C31,""),"")</f>
        <v/>
      </c>
      <c r="CE31" s="34">
        <f>IF(AND(CE$5&gt;$E31,CE$5&lt;=$F31),IF(CE$5=$E31+1,$C31,""),"")</f>
        <v/>
      </c>
      <c r="CF31" s="34">
        <f>IF(AND(CF$5&gt;$E31,CF$5&lt;=$F31),IF(CF$5=$E31+1,$C31,""),"")</f>
        <v/>
      </c>
      <c r="CG31" s="34">
        <f>IF(AND(CG$5&gt;$E31,CG$5&lt;=$F31),IF(CG$5=$E31+1,$C31,""),"")</f>
        <v/>
      </c>
      <c r="CH31" s="34">
        <f>IF(AND(CH$5&gt;$E31,CH$5&lt;=$F31),IF(CH$5=$E31+1,$C31,""),"")</f>
        <v/>
      </c>
      <c r="CI31" s="34">
        <f>IF(AND(CI$5&gt;$E31,CI$5&lt;=$F31),IF(CI$5=$E31+1,$C31,""),"")</f>
        <v/>
      </c>
      <c r="CJ31" s="34">
        <f>IF(AND(CJ$5&gt;$E31,CJ$5&lt;=$F31),IF(CJ$5=$E31+1,$C31,""),"")</f>
        <v/>
      </c>
      <c r="CK31" s="34">
        <f>IF(AND(CK$5&gt;$E31,CK$5&lt;=$F31),IF(CK$5=$E31+1,$C31,""),"")</f>
        <v/>
      </c>
      <c r="CL31" s="34">
        <f>IF(AND(CL$5&gt;$E31,CL$5&lt;=$F31),IF(CL$5=$E31+1,$C31,""),"")</f>
        <v/>
      </c>
      <c r="CM31" s="34">
        <f>IF(AND(CM$5&gt;$E31,CM$5&lt;=$F31),IF(CM$5=$E31+1,$C31,""),"")</f>
        <v/>
      </c>
      <c r="CN31" s="34">
        <f>IF(AND(CN$5&gt;$E31,CN$5&lt;=$F31),IF(CN$5=$E31+1,$C31,""),"")</f>
        <v/>
      </c>
      <c r="CO31" s="34">
        <f>IF(AND(CO$5&gt;$E31,CO$5&lt;=$F31),IF(CO$5=$E31+1,$C31,""),"")</f>
        <v/>
      </c>
      <c r="CP31" s="34">
        <f>IF(AND(CP$5&gt;$E31,CP$5&lt;=$F31),IF(CP$5=$E31+1,$C31,""),"")</f>
        <v/>
      </c>
      <c r="CQ31" s="34">
        <f>IF(AND(CQ$5&gt;$E31,CQ$5&lt;=$F31),IF(CQ$5=$E31+1,$C31,""),"")</f>
        <v/>
      </c>
      <c r="CR31" s="34">
        <f>IF(AND(CR$5&gt;$E31,CR$5&lt;=$F31),IF(CR$5=$E31+1,$C31,""),"")</f>
        <v/>
      </c>
      <c r="CS31" s="34">
        <f>IF(AND(CS$5&gt;$E31,CS$5&lt;=$F31),IF(CS$5=$E31+1,$C31,""),"")</f>
        <v/>
      </c>
    </row>
    <row r="32">
      <c r="A32" s="32">
        <f>Plan!A26</f>
        <v/>
      </c>
      <c r="B32" s="33">
        <f>Plan!C26</f>
        <v/>
      </c>
      <c r="C32" s="16">
        <f>Plan!D26</f>
        <v/>
      </c>
      <c r="D32" s="16">
        <f>Plan!I26</f>
        <v/>
      </c>
      <c r="E32" s="16">
        <f>Plan!K26</f>
        <v/>
      </c>
      <c r="F32" s="16">
        <f>Plan!L26</f>
        <v/>
      </c>
      <c r="G32" s="16">
        <f>Plan!O26</f>
        <v/>
      </c>
      <c r="H32" s="34">
        <f>IF(AND(H$5&gt;$E32,H$5&lt;=$F32),IF(H$5=$E32+1,$C32,""),"")</f>
        <v/>
      </c>
      <c r="I32" s="34">
        <f>IF(AND(I$5&gt;$E32,I$5&lt;=$F32),IF(I$5=$E32+1,$C32,""),"")</f>
        <v/>
      </c>
      <c r="J32" s="34">
        <f>IF(AND(J$5&gt;$E32,J$5&lt;=$F32),IF(J$5=$E32+1,$C32,""),"")</f>
        <v/>
      </c>
      <c r="K32" s="34">
        <f>IF(AND(K$5&gt;$E32,K$5&lt;=$F32),IF(K$5=$E32+1,$C32,""),"")</f>
        <v/>
      </c>
      <c r="L32" s="34">
        <f>IF(AND(L$5&gt;$E32,L$5&lt;=$F32),IF(L$5=$E32+1,$C32,""),"")</f>
        <v/>
      </c>
      <c r="M32" s="34">
        <f>IF(AND(M$5&gt;$E32,M$5&lt;=$F32),IF(M$5=$E32+1,$C32,""),"")</f>
        <v/>
      </c>
      <c r="N32" s="34">
        <f>IF(AND(N$5&gt;$E32,N$5&lt;=$F32),IF(N$5=$E32+1,$C32,""),"")</f>
        <v/>
      </c>
      <c r="O32" s="34">
        <f>IF(AND(O$5&gt;$E32,O$5&lt;=$F32),IF(O$5=$E32+1,$C32,""),"")</f>
        <v/>
      </c>
      <c r="P32" s="34">
        <f>IF(AND(P$5&gt;$E32,P$5&lt;=$F32),IF(P$5=$E32+1,$C32,""),"")</f>
        <v/>
      </c>
      <c r="Q32" s="34">
        <f>IF(AND(Q$5&gt;$E32,Q$5&lt;=$F32),IF(Q$5=$E32+1,$C32,""),"")</f>
        <v/>
      </c>
      <c r="R32" s="34">
        <f>IF(AND(R$5&gt;$E32,R$5&lt;=$F32),IF(R$5=$E32+1,$C32,""),"")</f>
        <v/>
      </c>
      <c r="S32" s="34">
        <f>IF(AND(S$5&gt;$E32,S$5&lt;=$F32),IF(S$5=$E32+1,$C32,""),"")</f>
        <v/>
      </c>
      <c r="T32" s="34">
        <f>IF(AND(T$5&gt;$E32,T$5&lt;=$F32),IF(T$5=$E32+1,$C32,""),"")</f>
        <v/>
      </c>
      <c r="U32" s="34">
        <f>IF(AND(U$5&gt;$E32,U$5&lt;=$F32),IF(U$5=$E32+1,$C32,""),"")</f>
        <v/>
      </c>
      <c r="V32" s="34">
        <f>IF(AND(V$5&gt;$E32,V$5&lt;=$F32),IF(V$5=$E32+1,$C32,""),"")</f>
        <v/>
      </c>
      <c r="W32" s="34">
        <f>IF(AND(W$5&gt;$E32,W$5&lt;=$F32),IF(W$5=$E32+1,$C32,""),"")</f>
        <v/>
      </c>
      <c r="X32" s="34">
        <f>IF(AND(X$5&gt;$E32,X$5&lt;=$F32),IF(X$5=$E32+1,$C32,""),"")</f>
        <v/>
      </c>
      <c r="Y32" s="34">
        <f>IF(AND(Y$5&gt;$E32,Y$5&lt;=$F32),IF(Y$5=$E32+1,$C32,""),"")</f>
        <v/>
      </c>
      <c r="Z32" s="34">
        <f>IF(AND(Z$5&gt;$E32,Z$5&lt;=$F32),IF(Z$5=$E32+1,$C32,""),"")</f>
        <v/>
      </c>
      <c r="AA32" s="34">
        <f>IF(AND(AA$5&gt;$E32,AA$5&lt;=$F32),IF(AA$5=$E32+1,$C32,""),"")</f>
        <v/>
      </c>
      <c r="AB32" s="34">
        <f>IF(AND(AB$5&gt;$E32,AB$5&lt;=$F32),IF(AB$5=$E32+1,$C32,""),"")</f>
        <v/>
      </c>
      <c r="AC32" s="34">
        <f>IF(AND(AC$5&gt;$E32,AC$5&lt;=$F32),IF(AC$5=$E32+1,$C32,""),"")</f>
        <v/>
      </c>
      <c r="AD32" s="34">
        <f>IF(AND(AD$5&gt;$E32,AD$5&lt;=$F32),IF(AD$5=$E32+1,$C32,""),"")</f>
        <v/>
      </c>
      <c r="AE32" s="34">
        <f>IF(AND(AE$5&gt;$E32,AE$5&lt;=$F32),IF(AE$5=$E32+1,$C32,""),"")</f>
        <v/>
      </c>
      <c r="AF32" s="34">
        <f>IF(AND(AF$5&gt;$E32,AF$5&lt;=$F32),IF(AF$5=$E32+1,$C32,""),"")</f>
        <v/>
      </c>
      <c r="AG32" s="34">
        <f>IF(AND(AG$5&gt;$E32,AG$5&lt;=$F32),IF(AG$5=$E32+1,$C32,""),"")</f>
        <v/>
      </c>
      <c r="AH32" s="34">
        <f>IF(AND(AH$5&gt;$E32,AH$5&lt;=$F32),IF(AH$5=$E32+1,$C32,""),"")</f>
        <v/>
      </c>
      <c r="AI32" s="34">
        <f>IF(AND(AI$5&gt;$E32,AI$5&lt;=$F32),IF(AI$5=$E32+1,$C32,""),"")</f>
        <v/>
      </c>
      <c r="AJ32" s="34">
        <f>IF(AND(AJ$5&gt;$E32,AJ$5&lt;=$F32),IF(AJ$5=$E32+1,$C32,""),"")</f>
        <v/>
      </c>
      <c r="AK32" s="34">
        <f>IF(AND(AK$5&gt;$E32,AK$5&lt;=$F32),IF(AK$5=$E32+1,$C32,""),"")</f>
        <v/>
      </c>
      <c r="AL32" s="34">
        <f>IF(AND(AL$5&gt;$E32,AL$5&lt;=$F32),IF(AL$5=$E32+1,$C32,""),"")</f>
        <v/>
      </c>
      <c r="AM32" s="34">
        <f>IF(AND(AM$5&gt;$E32,AM$5&lt;=$F32),IF(AM$5=$E32+1,$C32,""),"")</f>
        <v/>
      </c>
      <c r="AN32" s="34">
        <f>IF(AND(AN$5&gt;$E32,AN$5&lt;=$F32),IF(AN$5=$E32+1,$C32,""),"")</f>
        <v/>
      </c>
      <c r="AO32" s="34">
        <f>IF(AND(AO$5&gt;$E32,AO$5&lt;=$F32),IF(AO$5=$E32+1,$C32,""),"")</f>
        <v/>
      </c>
      <c r="AP32" s="34">
        <f>IF(AND(AP$5&gt;$E32,AP$5&lt;=$F32),IF(AP$5=$E32+1,$C32,""),"")</f>
        <v/>
      </c>
      <c r="AQ32" s="34">
        <f>IF(AND(AQ$5&gt;$E32,AQ$5&lt;=$F32),IF(AQ$5=$E32+1,$C32,""),"")</f>
        <v/>
      </c>
      <c r="AR32" s="34">
        <f>IF(AND(AR$5&gt;$E32,AR$5&lt;=$F32),IF(AR$5=$E32+1,$C32,""),"")</f>
        <v/>
      </c>
      <c r="AS32" s="34">
        <f>IF(AND(AS$5&gt;$E32,AS$5&lt;=$F32),IF(AS$5=$E32+1,$C32,""),"")</f>
        <v/>
      </c>
      <c r="AT32" s="34">
        <f>IF(AND(AT$5&gt;$E32,AT$5&lt;=$F32),IF(AT$5=$E32+1,$C32,""),"")</f>
        <v/>
      </c>
      <c r="AU32" s="34">
        <f>IF(AND(AU$5&gt;$E32,AU$5&lt;=$F32),IF(AU$5=$E32+1,$C32,""),"")</f>
        <v/>
      </c>
      <c r="AV32" s="34">
        <f>IF(AND(AV$5&gt;$E32,AV$5&lt;=$F32),IF(AV$5=$E32+1,$C32,""),"")</f>
        <v/>
      </c>
      <c r="AW32" s="34">
        <f>IF(AND(AW$5&gt;$E32,AW$5&lt;=$F32),IF(AW$5=$E32+1,$C32,""),"")</f>
        <v/>
      </c>
      <c r="AX32" s="34">
        <f>IF(AND(AX$5&gt;$E32,AX$5&lt;=$F32),IF(AX$5=$E32+1,$C32,""),"")</f>
        <v/>
      </c>
      <c r="AY32" s="34">
        <f>IF(AND(AY$5&gt;$E32,AY$5&lt;=$F32),IF(AY$5=$E32+1,$C32,""),"")</f>
        <v/>
      </c>
      <c r="AZ32" s="34">
        <f>IF(AND(AZ$5&gt;$E32,AZ$5&lt;=$F32),IF(AZ$5=$E32+1,$C32,""),"")</f>
        <v/>
      </c>
      <c r="BA32" s="34">
        <f>IF(AND(BA$5&gt;$E32,BA$5&lt;=$F32),IF(BA$5=$E32+1,$C32,""),"")</f>
        <v/>
      </c>
      <c r="BB32" s="34">
        <f>IF(AND(BB$5&gt;$E32,BB$5&lt;=$F32),IF(BB$5=$E32+1,$C32,""),"")</f>
        <v/>
      </c>
      <c r="BC32" s="34">
        <f>IF(AND(BC$5&gt;$E32,BC$5&lt;=$F32),IF(BC$5=$E32+1,$C32,""),"")</f>
        <v/>
      </c>
      <c r="BD32" s="34">
        <f>IF(AND(BD$5&gt;$E32,BD$5&lt;=$F32),IF(BD$5=$E32+1,$C32,""),"")</f>
        <v/>
      </c>
      <c r="BE32" s="34">
        <f>IF(AND(BE$5&gt;$E32,BE$5&lt;=$F32),IF(BE$5=$E32+1,$C32,""),"")</f>
        <v/>
      </c>
      <c r="BF32" s="34">
        <f>IF(AND(BF$5&gt;$E32,BF$5&lt;=$F32),IF(BF$5=$E32+1,$C32,""),"")</f>
        <v/>
      </c>
      <c r="BG32" s="34">
        <f>IF(AND(BG$5&gt;$E32,BG$5&lt;=$F32),IF(BG$5=$E32+1,$C32,""),"")</f>
        <v/>
      </c>
      <c r="BH32" s="34">
        <f>IF(AND(BH$5&gt;$E32,BH$5&lt;=$F32),IF(BH$5=$E32+1,$C32,""),"")</f>
        <v/>
      </c>
      <c r="BI32" s="34">
        <f>IF(AND(BI$5&gt;$E32,BI$5&lt;=$F32),IF(BI$5=$E32+1,$C32,""),"")</f>
        <v/>
      </c>
      <c r="BJ32" s="34">
        <f>IF(AND(BJ$5&gt;$E32,BJ$5&lt;=$F32),IF(BJ$5=$E32+1,$C32,""),"")</f>
        <v/>
      </c>
      <c r="BK32" s="34">
        <f>IF(AND(BK$5&gt;$E32,BK$5&lt;=$F32),IF(BK$5=$E32+1,$C32,""),"")</f>
        <v/>
      </c>
      <c r="BL32" s="34">
        <f>IF(AND(BL$5&gt;$E32,BL$5&lt;=$F32),IF(BL$5=$E32+1,$C32,""),"")</f>
        <v/>
      </c>
      <c r="BM32" s="34">
        <f>IF(AND(BM$5&gt;$E32,BM$5&lt;=$F32),IF(BM$5=$E32+1,$C32,""),"")</f>
        <v/>
      </c>
      <c r="BN32" s="34">
        <f>IF(AND(BN$5&gt;$E32,BN$5&lt;=$F32),IF(BN$5=$E32+1,$C32,""),"")</f>
        <v/>
      </c>
      <c r="BO32" s="34">
        <f>IF(AND(BO$5&gt;$E32,BO$5&lt;=$F32),IF(BO$5=$E32+1,$C32,""),"")</f>
        <v/>
      </c>
      <c r="BP32" s="34">
        <f>IF(AND(BP$5&gt;$E32,BP$5&lt;=$F32),IF(BP$5=$E32+1,$C32,""),"")</f>
        <v/>
      </c>
      <c r="BQ32" s="34">
        <f>IF(AND(BQ$5&gt;$E32,BQ$5&lt;=$F32),IF(BQ$5=$E32+1,$C32,""),"")</f>
        <v/>
      </c>
      <c r="BR32" s="34">
        <f>IF(AND(BR$5&gt;$E32,BR$5&lt;=$F32),IF(BR$5=$E32+1,$C32,""),"")</f>
        <v/>
      </c>
      <c r="BS32" s="34">
        <f>IF(AND(BS$5&gt;$E32,BS$5&lt;=$F32),IF(BS$5=$E32+1,$C32,""),"")</f>
        <v/>
      </c>
      <c r="BT32" s="34">
        <f>IF(AND(BT$5&gt;$E32,BT$5&lt;=$F32),IF(BT$5=$E32+1,$C32,""),"")</f>
        <v/>
      </c>
      <c r="BU32" s="34">
        <f>IF(AND(BU$5&gt;$E32,BU$5&lt;=$F32),IF(BU$5=$E32+1,$C32,""),"")</f>
        <v/>
      </c>
      <c r="BV32" s="34">
        <f>IF(AND(BV$5&gt;$E32,BV$5&lt;=$F32),IF(BV$5=$E32+1,$C32,""),"")</f>
        <v/>
      </c>
      <c r="BW32" s="34">
        <f>IF(AND(BW$5&gt;$E32,BW$5&lt;=$F32),IF(BW$5=$E32+1,$C32,""),"")</f>
        <v/>
      </c>
      <c r="BX32" s="34">
        <f>IF(AND(BX$5&gt;$E32,BX$5&lt;=$F32),IF(BX$5=$E32+1,$C32,""),"")</f>
        <v/>
      </c>
      <c r="BY32" s="34">
        <f>IF(AND(BY$5&gt;$E32,BY$5&lt;=$F32),IF(BY$5=$E32+1,$C32,""),"")</f>
        <v/>
      </c>
      <c r="BZ32" s="34">
        <f>IF(AND(BZ$5&gt;$E32,BZ$5&lt;=$F32),IF(BZ$5=$E32+1,$C32,""),"")</f>
        <v/>
      </c>
      <c r="CA32" s="34">
        <f>IF(AND(CA$5&gt;$E32,CA$5&lt;=$F32),IF(CA$5=$E32+1,$C32,""),"")</f>
        <v/>
      </c>
      <c r="CB32" s="34">
        <f>IF(AND(CB$5&gt;$E32,CB$5&lt;=$F32),IF(CB$5=$E32+1,$C32,""),"")</f>
        <v/>
      </c>
      <c r="CC32" s="34">
        <f>IF(AND(CC$5&gt;$E32,CC$5&lt;=$F32),IF(CC$5=$E32+1,$C32,""),"")</f>
        <v/>
      </c>
      <c r="CD32" s="34">
        <f>IF(AND(CD$5&gt;$E32,CD$5&lt;=$F32),IF(CD$5=$E32+1,$C32,""),"")</f>
        <v/>
      </c>
      <c r="CE32" s="34">
        <f>IF(AND(CE$5&gt;$E32,CE$5&lt;=$F32),IF(CE$5=$E32+1,$C32,""),"")</f>
        <v/>
      </c>
      <c r="CF32" s="34">
        <f>IF(AND(CF$5&gt;$E32,CF$5&lt;=$F32),IF(CF$5=$E32+1,$C32,""),"")</f>
        <v/>
      </c>
      <c r="CG32" s="34">
        <f>IF(AND(CG$5&gt;$E32,CG$5&lt;=$F32),IF(CG$5=$E32+1,$C32,""),"")</f>
        <v/>
      </c>
      <c r="CH32" s="34">
        <f>IF(AND(CH$5&gt;$E32,CH$5&lt;=$F32),IF(CH$5=$E32+1,$C32,""),"")</f>
        <v/>
      </c>
      <c r="CI32" s="34">
        <f>IF(AND(CI$5&gt;$E32,CI$5&lt;=$F32),IF(CI$5=$E32+1,$C32,""),"")</f>
        <v/>
      </c>
      <c r="CJ32" s="34">
        <f>IF(AND(CJ$5&gt;$E32,CJ$5&lt;=$F32),IF(CJ$5=$E32+1,$C32,""),"")</f>
        <v/>
      </c>
      <c r="CK32" s="34">
        <f>IF(AND(CK$5&gt;$E32,CK$5&lt;=$F32),IF(CK$5=$E32+1,$C32,""),"")</f>
        <v/>
      </c>
      <c r="CL32" s="34">
        <f>IF(AND(CL$5&gt;$E32,CL$5&lt;=$F32),IF(CL$5=$E32+1,$C32,""),"")</f>
        <v/>
      </c>
      <c r="CM32" s="34">
        <f>IF(AND(CM$5&gt;$E32,CM$5&lt;=$F32),IF(CM$5=$E32+1,$C32,""),"")</f>
        <v/>
      </c>
      <c r="CN32" s="34">
        <f>IF(AND(CN$5&gt;$E32,CN$5&lt;=$F32),IF(CN$5=$E32+1,$C32,""),"")</f>
        <v/>
      </c>
      <c r="CO32" s="34">
        <f>IF(AND(CO$5&gt;$E32,CO$5&lt;=$F32),IF(CO$5=$E32+1,$C32,""),"")</f>
        <v/>
      </c>
      <c r="CP32" s="34">
        <f>IF(AND(CP$5&gt;$E32,CP$5&lt;=$F32),IF(CP$5=$E32+1,$C32,""),"")</f>
        <v/>
      </c>
      <c r="CQ32" s="34">
        <f>IF(AND(CQ$5&gt;$E32,CQ$5&lt;=$F32),IF(CQ$5=$E32+1,$C32,""),"")</f>
        <v/>
      </c>
      <c r="CR32" s="34">
        <f>IF(AND(CR$5&gt;$E32,CR$5&lt;=$F32),IF(CR$5=$E32+1,$C32,""),"")</f>
        <v/>
      </c>
      <c r="CS32" s="34">
        <f>IF(AND(CS$5&gt;$E32,CS$5&lt;=$F32),IF(CS$5=$E32+1,$C32,""),"")</f>
        <v/>
      </c>
    </row>
    <row r="33">
      <c r="A33" s="32">
        <f>Plan!A27</f>
        <v/>
      </c>
      <c r="B33" s="33">
        <f>Plan!C27</f>
        <v/>
      </c>
      <c r="C33" s="16">
        <f>Plan!D27</f>
        <v/>
      </c>
      <c r="D33" s="16">
        <f>Plan!I27</f>
        <v/>
      </c>
      <c r="E33" s="16">
        <f>Plan!K27</f>
        <v/>
      </c>
      <c r="F33" s="16">
        <f>Plan!L27</f>
        <v/>
      </c>
      <c r="G33" s="16">
        <f>Plan!O27</f>
        <v/>
      </c>
      <c r="H33" s="34">
        <f>IF(AND(H$5&gt;$E33,H$5&lt;=$F33),IF(H$5=$E33+1,$C33,""),"")</f>
        <v/>
      </c>
      <c r="I33" s="34">
        <f>IF(AND(I$5&gt;$E33,I$5&lt;=$F33),IF(I$5=$E33+1,$C33,""),"")</f>
        <v/>
      </c>
      <c r="J33" s="34">
        <f>IF(AND(J$5&gt;$E33,J$5&lt;=$F33),IF(J$5=$E33+1,$C33,""),"")</f>
        <v/>
      </c>
      <c r="K33" s="34">
        <f>IF(AND(K$5&gt;$E33,K$5&lt;=$F33),IF(K$5=$E33+1,$C33,""),"")</f>
        <v/>
      </c>
      <c r="L33" s="34">
        <f>IF(AND(L$5&gt;$E33,L$5&lt;=$F33),IF(L$5=$E33+1,$C33,""),"")</f>
        <v/>
      </c>
      <c r="M33" s="34">
        <f>IF(AND(M$5&gt;$E33,M$5&lt;=$F33),IF(M$5=$E33+1,$C33,""),"")</f>
        <v/>
      </c>
      <c r="N33" s="34">
        <f>IF(AND(N$5&gt;$E33,N$5&lt;=$F33),IF(N$5=$E33+1,$C33,""),"")</f>
        <v/>
      </c>
      <c r="O33" s="34">
        <f>IF(AND(O$5&gt;$E33,O$5&lt;=$F33),IF(O$5=$E33+1,$C33,""),"")</f>
        <v/>
      </c>
      <c r="P33" s="34">
        <f>IF(AND(P$5&gt;$E33,P$5&lt;=$F33),IF(P$5=$E33+1,$C33,""),"")</f>
        <v/>
      </c>
      <c r="Q33" s="34">
        <f>IF(AND(Q$5&gt;$E33,Q$5&lt;=$F33),IF(Q$5=$E33+1,$C33,""),"")</f>
        <v/>
      </c>
      <c r="R33" s="34">
        <f>IF(AND(R$5&gt;$E33,R$5&lt;=$F33),IF(R$5=$E33+1,$C33,""),"")</f>
        <v/>
      </c>
      <c r="S33" s="34">
        <f>IF(AND(S$5&gt;$E33,S$5&lt;=$F33),IF(S$5=$E33+1,$C33,""),"")</f>
        <v/>
      </c>
      <c r="T33" s="34">
        <f>IF(AND(T$5&gt;$E33,T$5&lt;=$F33),IF(T$5=$E33+1,$C33,""),"")</f>
        <v/>
      </c>
      <c r="U33" s="34">
        <f>IF(AND(U$5&gt;$E33,U$5&lt;=$F33),IF(U$5=$E33+1,$C33,""),"")</f>
        <v/>
      </c>
      <c r="V33" s="34">
        <f>IF(AND(V$5&gt;$E33,V$5&lt;=$F33),IF(V$5=$E33+1,$C33,""),"")</f>
        <v/>
      </c>
      <c r="W33" s="34">
        <f>IF(AND(W$5&gt;$E33,W$5&lt;=$F33),IF(W$5=$E33+1,$C33,""),"")</f>
        <v/>
      </c>
      <c r="X33" s="34">
        <f>IF(AND(X$5&gt;$E33,X$5&lt;=$F33),IF(X$5=$E33+1,$C33,""),"")</f>
        <v/>
      </c>
      <c r="Y33" s="34">
        <f>IF(AND(Y$5&gt;$E33,Y$5&lt;=$F33),IF(Y$5=$E33+1,$C33,""),"")</f>
        <v/>
      </c>
      <c r="Z33" s="34">
        <f>IF(AND(Z$5&gt;$E33,Z$5&lt;=$F33),IF(Z$5=$E33+1,$C33,""),"")</f>
        <v/>
      </c>
      <c r="AA33" s="34">
        <f>IF(AND(AA$5&gt;$E33,AA$5&lt;=$F33),IF(AA$5=$E33+1,$C33,""),"")</f>
        <v/>
      </c>
      <c r="AB33" s="34">
        <f>IF(AND(AB$5&gt;$E33,AB$5&lt;=$F33),IF(AB$5=$E33+1,$C33,""),"")</f>
        <v/>
      </c>
      <c r="AC33" s="34">
        <f>IF(AND(AC$5&gt;$E33,AC$5&lt;=$F33),IF(AC$5=$E33+1,$C33,""),"")</f>
        <v/>
      </c>
      <c r="AD33" s="34">
        <f>IF(AND(AD$5&gt;$E33,AD$5&lt;=$F33),IF(AD$5=$E33+1,$C33,""),"")</f>
        <v/>
      </c>
      <c r="AE33" s="34">
        <f>IF(AND(AE$5&gt;$E33,AE$5&lt;=$F33),IF(AE$5=$E33+1,$C33,""),"")</f>
        <v/>
      </c>
      <c r="AF33" s="34">
        <f>IF(AND(AF$5&gt;$E33,AF$5&lt;=$F33),IF(AF$5=$E33+1,$C33,""),"")</f>
        <v/>
      </c>
      <c r="AG33" s="34">
        <f>IF(AND(AG$5&gt;$E33,AG$5&lt;=$F33),IF(AG$5=$E33+1,$C33,""),"")</f>
        <v/>
      </c>
      <c r="AH33" s="34">
        <f>IF(AND(AH$5&gt;$E33,AH$5&lt;=$F33),IF(AH$5=$E33+1,$C33,""),"")</f>
        <v/>
      </c>
      <c r="AI33" s="34">
        <f>IF(AND(AI$5&gt;$E33,AI$5&lt;=$F33),IF(AI$5=$E33+1,$C33,""),"")</f>
        <v/>
      </c>
      <c r="AJ33" s="34">
        <f>IF(AND(AJ$5&gt;$E33,AJ$5&lt;=$F33),IF(AJ$5=$E33+1,$C33,""),"")</f>
        <v/>
      </c>
      <c r="AK33" s="34">
        <f>IF(AND(AK$5&gt;$E33,AK$5&lt;=$F33),IF(AK$5=$E33+1,$C33,""),"")</f>
        <v/>
      </c>
      <c r="AL33" s="34">
        <f>IF(AND(AL$5&gt;$E33,AL$5&lt;=$F33),IF(AL$5=$E33+1,$C33,""),"")</f>
        <v/>
      </c>
      <c r="AM33" s="34">
        <f>IF(AND(AM$5&gt;$E33,AM$5&lt;=$F33),IF(AM$5=$E33+1,$C33,""),"")</f>
        <v/>
      </c>
      <c r="AN33" s="34">
        <f>IF(AND(AN$5&gt;$E33,AN$5&lt;=$F33),IF(AN$5=$E33+1,$C33,""),"")</f>
        <v/>
      </c>
      <c r="AO33" s="34">
        <f>IF(AND(AO$5&gt;$E33,AO$5&lt;=$F33),IF(AO$5=$E33+1,$C33,""),"")</f>
        <v/>
      </c>
      <c r="AP33" s="34">
        <f>IF(AND(AP$5&gt;$E33,AP$5&lt;=$F33),IF(AP$5=$E33+1,$C33,""),"")</f>
        <v/>
      </c>
      <c r="AQ33" s="34">
        <f>IF(AND(AQ$5&gt;$E33,AQ$5&lt;=$F33),IF(AQ$5=$E33+1,$C33,""),"")</f>
        <v/>
      </c>
      <c r="AR33" s="34">
        <f>IF(AND(AR$5&gt;$E33,AR$5&lt;=$F33),IF(AR$5=$E33+1,$C33,""),"")</f>
        <v/>
      </c>
      <c r="AS33" s="34">
        <f>IF(AND(AS$5&gt;$E33,AS$5&lt;=$F33),IF(AS$5=$E33+1,$C33,""),"")</f>
        <v/>
      </c>
      <c r="AT33" s="34">
        <f>IF(AND(AT$5&gt;$E33,AT$5&lt;=$F33),IF(AT$5=$E33+1,$C33,""),"")</f>
        <v/>
      </c>
      <c r="AU33" s="34">
        <f>IF(AND(AU$5&gt;$E33,AU$5&lt;=$F33),IF(AU$5=$E33+1,$C33,""),"")</f>
        <v/>
      </c>
      <c r="AV33" s="34">
        <f>IF(AND(AV$5&gt;$E33,AV$5&lt;=$F33),IF(AV$5=$E33+1,$C33,""),"")</f>
        <v/>
      </c>
      <c r="AW33" s="34">
        <f>IF(AND(AW$5&gt;$E33,AW$5&lt;=$F33),IF(AW$5=$E33+1,$C33,""),"")</f>
        <v/>
      </c>
      <c r="AX33" s="34">
        <f>IF(AND(AX$5&gt;$E33,AX$5&lt;=$F33),IF(AX$5=$E33+1,$C33,""),"")</f>
        <v/>
      </c>
      <c r="AY33" s="34">
        <f>IF(AND(AY$5&gt;$E33,AY$5&lt;=$F33),IF(AY$5=$E33+1,$C33,""),"")</f>
        <v/>
      </c>
      <c r="AZ33" s="34">
        <f>IF(AND(AZ$5&gt;$E33,AZ$5&lt;=$F33),IF(AZ$5=$E33+1,$C33,""),"")</f>
        <v/>
      </c>
      <c r="BA33" s="34">
        <f>IF(AND(BA$5&gt;$E33,BA$5&lt;=$F33),IF(BA$5=$E33+1,$C33,""),"")</f>
        <v/>
      </c>
      <c r="BB33" s="34">
        <f>IF(AND(BB$5&gt;$E33,BB$5&lt;=$F33),IF(BB$5=$E33+1,$C33,""),"")</f>
        <v/>
      </c>
      <c r="BC33" s="34">
        <f>IF(AND(BC$5&gt;$E33,BC$5&lt;=$F33),IF(BC$5=$E33+1,$C33,""),"")</f>
        <v/>
      </c>
      <c r="BD33" s="34">
        <f>IF(AND(BD$5&gt;$E33,BD$5&lt;=$F33),IF(BD$5=$E33+1,$C33,""),"")</f>
        <v/>
      </c>
      <c r="BE33" s="34">
        <f>IF(AND(BE$5&gt;$E33,BE$5&lt;=$F33),IF(BE$5=$E33+1,$C33,""),"")</f>
        <v/>
      </c>
      <c r="BF33" s="34">
        <f>IF(AND(BF$5&gt;$E33,BF$5&lt;=$F33),IF(BF$5=$E33+1,$C33,""),"")</f>
        <v/>
      </c>
      <c r="BG33" s="34">
        <f>IF(AND(BG$5&gt;$E33,BG$5&lt;=$F33),IF(BG$5=$E33+1,$C33,""),"")</f>
        <v/>
      </c>
      <c r="BH33" s="34">
        <f>IF(AND(BH$5&gt;$E33,BH$5&lt;=$F33),IF(BH$5=$E33+1,$C33,""),"")</f>
        <v/>
      </c>
      <c r="BI33" s="34">
        <f>IF(AND(BI$5&gt;$E33,BI$5&lt;=$F33),IF(BI$5=$E33+1,$C33,""),"")</f>
        <v/>
      </c>
      <c r="BJ33" s="34">
        <f>IF(AND(BJ$5&gt;$E33,BJ$5&lt;=$F33),IF(BJ$5=$E33+1,$C33,""),"")</f>
        <v/>
      </c>
      <c r="BK33" s="34">
        <f>IF(AND(BK$5&gt;$E33,BK$5&lt;=$F33),IF(BK$5=$E33+1,$C33,""),"")</f>
        <v/>
      </c>
      <c r="BL33" s="34">
        <f>IF(AND(BL$5&gt;$E33,BL$5&lt;=$F33),IF(BL$5=$E33+1,$C33,""),"")</f>
        <v/>
      </c>
      <c r="BM33" s="34">
        <f>IF(AND(BM$5&gt;$E33,BM$5&lt;=$F33),IF(BM$5=$E33+1,$C33,""),"")</f>
        <v/>
      </c>
      <c r="BN33" s="34">
        <f>IF(AND(BN$5&gt;$E33,BN$5&lt;=$F33),IF(BN$5=$E33+1,$C33,""),"")</f>
        <v/>
      </c>
      <c r="BO33" s="34">
        <f>IF(AND(BO$5&gt;$E33,BO$5&lt;=$F33),IF(BO$5=$E33+1,$C33,""),"")</f>
        <v/>
      </c>
      <c r="BP33" s="34">
        <f>IF(AND(BP$5&gt;$E33,BP$5&lt;=$F33),IF(BP$5=$E33+1,$C33,""),"")</f>
        <v/>
      </c>
      <c r="BQ33" s="34">
        <f>IF(AND(BQ$5&gt;$E33,BQ$5&lt;=$F33),IF(BQ$5=$E33+1,$C33,""),"")</f>
        <v/>
      </c>
      <c r="BR33" s="34">
        <f>IF(AND(BR$5&gt;$E33,BR$5&lt;=$F33),IF(BR$5=$E33+1,$C33,""),"")</f>
        <v/>
      </c>
      <c r="BS33" s="34">
        <f>IF(AND(BS$5&gt;$E33,BS$5&lt;=$F33),IF(BS$5=$E33+1,$C33,""),"")</f>
        <v/>
      </c>
      <c r="BT33" s="34">
        <f>IF(AND(BT$5&gt;$E33,BT$5&lt;=$F33),IF(BT$5=$E33+1,$C33,""),"")</f>
        <v/>
      </c>
      <c r="BU33" s="34">
        <f>IF(AND(BU$5&gt;$E33,BU$5&lt;=$F33),IF(BU$5=$E33+1,$C33,""),"")</f>
        <v/>
      </c>
      <c r="BV33" s="34">
        <f>IF(AND(BV$5&gt;$E33,BV$5&lt;=$F33),IF(BV$5=$E33+1,$C33,""),"")</f>
        <v/>
      </c>
      <c r="BW33" s="34">
        <f>IF(AND(BW$5&gt;$E33,BW$5&lt;=$F33),IF(BW$5=$E33+1,$C33,""),"")</f>
        <v/>
      </c>
      <c r="BX33" s="34">
        <f>IF(AND(BX$5&gt;$E33,BX$5&lt;=$F33),IF(BX$5=$E33+1,$C33,""),"")</f>
        <v/>
      </c>
      <c r="BY33" s="34">
        <f>IF(AND(BY$5&gt;$E33,BY$5&lt;=$F33),IF(BY$5=$E33+1,$C33,""),"")</f>
        <v/>
      </c>
      <c r="BZ33" s="34">
        <f>IF(AND(BZ$5&gt;$E33,BZ$5&lt;=$F33),IF(BZ$5=$E33+1,$C33,""),"")</f>
        <v/>
      </c>
      <c r="CA33" s="34">
        <f>IF(AND(CA$5&gt;$E33,CA$5&lt;=$F33),IF(CA$5=$E33+1,$C33,""),"")</f>
        <v/>
      </c>
      <c r="CB33" s="34">
        <f>IF(AND(CB$5&gt;$E33,CB$5&lt;=$F33),IF(CB$5=$E33+1,$C33,""),"")</f>
        <v/>
      </c>
      <c r="CC33" s="34">
        <f>IF(AND(CC$5&gt;$E33,CC$5&lt;=$F33),IF(CC$5=$E33+1,$C33,""),"")</f>
        <v/>
      </c>
      <c r="CD33" s="34">
        <f>IF(AND(CD$5&gt;$E33,CD$5&lt;=$F33),IF(CD$5=$E33+1,$C33,""),"")</f>
        <v/>
      </c>
      <c r="CE33" s="34">
        <f>IF(AND(CE$5&gt;$E33,CE$5&lt;=$F33),IF(CE$5=$E33+1,$C33,""),"")</f>
        <v/>
      </c>
      <c r="CF33" s="34">
        <f>IF(AND(CF$5&gt;$E33,CF$5&lt;=$F33),IF(CF$5=$E33+1,$C33,""),"")</f>
        <v/>
      </c>
      <c r="CG33" s="34">
        <f>IF(AND(CG$5&gt;$E33,CG$5&lt;=$F33),IF(CG$5=$E33+1,$C33,""),"")</f>
        <v/>
      </c>
      <c r="CH33" s="34">
        <f>IF(AND(CH$5&gt;$E33,CH$5&lt;=$F33),IF(CH$5=$E33+1,$C33,""),"")</f>
        <v/>
      </c>
      <c r="CI33" s="34">
        <f>IF(AND(CI$5&gt;$E33,CI$5&lt;=$F33),IF(CI$5=$E33+1,$C33,""),"")</f>
        <v/>
      </c>
      <c r="CJ33" s="34">
        <f>IF(AND(CJ$5&gt;$E33,CJ$5&lt;=$F33),IF(CJ$5=$E33+1,$C33,""),"")</f>
        <v/>
      </c>
      <c r="CK33" s="34">
        <f>IF(AND(CK$5&gt;$E33,CK$5&lt;=$F33),IF(CK$5=$E33+1,$C33,""),"")</f>
        <v/>
      </c>
      <c r="CL33" s="34">
        <f>IF(AND(CL$5&gt;$E33,CL$5&lt;=$F33),IF(CL$5=$E33+1,$C33,""),"")</f>
        <v/>
      </c>
      <c r="CM33" s="34">
        <f>IF(AND(CM$5&gt;$E33,CM$5&lt;=$F33),IF(CM$5=$E33+1,$C33,""),"")</f>
        <v/>
      </c>
      <c r="CN33" s="34">
        <f>IF(AND(CN$5&gt;$E33,CN$5&lt;=$F33),IF(CN$5=$E33+1,$C33,""),"")</f>
        <v/>
      </c>
      <c r="CO33" s="34">
        <f>IF(AND(CO$5&gt;$E33,CO$5&lt;=$F33),IF(CO$5=$E33+1,$C33,""),"")</f>
        <v/>
      </c>
      <c r="CP33" s="34">
        <f>IF(AND(CP$5&gt;$E33,CP$5&lt;=$F33),IF(CP$5=$E33+1,$C33,""),"")</f>
        <v/>
      </c>
      <c r="CQ33" s="34">
        <f>IF(AND(CQ$5&gt;$E33,CQ$5&lt;=$F33),IF(CQ$5=$E33+1,$C33,""),"")</f>
        <v/>
      </c>
      <c r="CR33" s="34">
        <f>IF(AND(CR$5&gt;$E33,CR$5&lt;=$F33),IF(CR$5=$E33+1,$C33,""),"")</f>
        <v/>
      </c>
      <c r="CS33" s="34">
        <f>IF(AND(CS$5&gt;$E33,CS$5&lt;=$F33),IF(CS$5=$E33+1,$C33,""),"")</f>
        <v/>
      </c>
    </row>
    <row r="34">
      <c r="A34" s="27" t="inlineStr">
        <is>
          <t>Fase 3. Flujo de solicitud de crédito</t>
        </is>
      </c>
      <c r="B34" s="28" t="n"/>
      <c r="C34" s="28" t="n"/>
      <c r="D34" s="28" t="n"/>
      <c r="E34" s="29">
        <f>SUMPRODUCT(MIN((Plan!$B$5:$B$76="3. Flujo de solicitud de crédito")*Plan!$K$5:$K$76+(Plan!$B$5:$B$76&lt;&gt;"3. Flujo de solicitud de crédito")*1E9))</f>
        <v/>
      </c>
      <c r="F34" s="29">
        <f>SUMPRODUCT(MAX((Plan!$B$5:$B$76="3. Flujo de solicitud de crédito")*Plan!$L$5:$L$76))</f>
        <v/>
      </c>
      <c r="G34" s="30">
        <f>Resumen!E31</f>
        <v/>
      </c>
      <c r="H34" s="31" t="n"/>
      <c r="I34" s="31" t="n"/>
      <c r="J34" s="31" t="n"/>
      <c r="K34" s="31" t="n"/>
      <c r="L34" s="31" t="n"/>
      <c r="M34" s="31" t="n"/>
      <c r="N34" s="31" t="n"/>
      <c r="O34" s="31" t="n"/>
      <c r="P34" s="31" t="n"/>
      <c r="Q34" s="31" t="n"/>
      <c r="R34" s="31" t="n"/>
      <c r="S34" s="31" t="n"/>
      <c r="T34" s="31" t="n"/>
      <c r="U34" s="31" t="n"/>
      <c r="V34" s="31" t="n"/>
      <c r="W34" s="31" t="n"/>
      <c r="X34" s="31" t="n"/>
      <c r="Y34" s="31" t="n"/>
      <c r="Z34" s="31" t="n"/>
      <c r="AA34" s="31" t="n"/>
      <c r="AB34" s="31" t="n"/>
      <c r="AC34" s="31" t="n"/>
      <c r="AD34" s="31" t="n"/>
      <c r="AE34" s="31" t="n"/>
      <c r="AF34" s="31" t="n"/>
      <c r="AG34" s="31" t="n"/>
      <c r="AH34" s="31" t="n"/>
      <c r="AI34" s="31" t="n"/>
      <c r="AJ34" s="31" t="n"/>
      <c r="AK34" s="31" t="n"/>
      <c r="AL34" s="31" t="n"/>
      <c r="AM34" s="31" t="n"/>
      <c r="AN34" s="31" t="n"/>
      <c r="AO34" s="31" t="n"/>
      <c r="AP34" s="31" t="n"/>
      <c r="AQ34" s="31" t="n"/>
      <c r="AR34" s="31" t="n"/>
      <c r="AS34" s="31" t="n"/>
      <c r="AT34" s="31" t="n"/>
      <c r="AU34" s="31" t="n"/>
      <c r="AV34" s="31" t="n"/>
      <c r="AW34" s="31" t="n"/>
      <c r="AX34" s="31" t="n"/>
      <c r="AY34" s="31" t="n"/>
      <c r="AZ34" s="31" t="n"/>
      <c r="BA34" s="31" t="n"/>
      <c r="BB34" s="31" t="n"/>
      <c r="BC34" s="31" t="n"/>
      <c r="BD34" s="31" t="n"/>
      <c r="BE34" s="31" t="n"/>
      <c r="BF34" s="31" t="n"/>
      <c r="BG34" s="31" t="n"/>
      <c r="BH34" s="31" t="n"/>
      <c r="BI34" s="31" t="n"/>
      <c r="BJ34" s="31" t="n"/>
      <c r="BK34" s="31" t="n"/>
      <c r="BL34" s="31" t="n"/>
      <c r="BM34" s="31" t="n"/>
      <c r="BN34" s="31" t="n"/>
      <c r="BO34" s="31" t="n"/>
      <c r="BP34" s="31" t="n"/>
      <c r="BQ34" s="31" t="n"/>
      <c r="BR34" s="31" t="n"/>
      <c r="BS34" s="31" t="n"/>
      <c r="BT34" s="31" t="n"/>
      <c r="BU34" s="31" t="n"/>
      <c r="BV34" s="31" t="n"/>
      <c r="BW34" s="31" t="n"/>
      <c r="BX34" s="31" t="n"/>
      <c r="BY34" s="31" t="n"/>
      <c r="BZ34" s="31" t="n"/>
      <c r="CA34" s="31" t="n"/>
      <c r="CB34" s="31" t="n"/>
      <c r="CC34" s="31" t="n"/>
      <c r="CD34" s="31" t="n"/>
      <c r="CE34" s="31" t="n"/>
      <c r="CF34" s="31" t="n"/>
      <c r="CG34" s="31" t="n"/>
      <c r="CH34" s="31" t="n"/>
      <c r="CI34" s="31" t="n"/>
      <c r="CJ34" s="31" t="n"/>
      <c r="CK34" s="31" t="n"/>
      <c r="CL34" s="31" t="n"/>
      <c r="CM34" s="31" t="n"/>
      <c r="CN34" s="31" t="n"/>
      <c r="CO34" s="31" t="n"/>
      <c r="CP34" s="31" t="n"/>
      <c r="CQ34" s="31" t="n"/>
      <c r="CR34" s="31" t="n"/>
      <c r="CS34" s="31" t="n"/>
    </row>
    <row r="35">
      <c r="A35" s="32">
        <f>Plan!A28</f>
        <v/>
      </c>
      <c r="B35" s="33">
        <f>Plan!C28</f>
        <v/>
      </c>
      <c r="C35" s="16">
        <f>Plan!D28</f>
        <v/>
      </c>
      <c r="D35" s="16">
        <f>Plan!I28</f>
        <v/>
      </c>
      <c r="E35" s="16">
        <f>Plan!K28</f>
        <v/>
      </c>
      <c r="F35" s="16">
        <f>Plan!L28</f>
        <v/>
      </c>
      <c r="G35" s="16">
        <f>Plan!O28</f>
        <v/>
      </c>
      <c r="H35" s="34">
        <f>IF(AND(H$5&gt;$E35,H$5&lt;=$F35),IF(H$5=$E35+1,$C35,""),"")</f>
        <v/>
      </c>
      <c r="I35" s="34">
        <f>IF(AND(I$5&gt;$E35,I$5&lt;=$F35),IF(I$5=$E35+1,$C35,""),"")</f>
        <v/>
      </c>
      <c r="J35" s="34">
        <f>IF(AND(J$5&gt;$E35,J$5&lt;=$F35),IF(J$5=$E35+1,$C35,""),"")</f>
        <v/>
      </c>
      <c r="K35" s="34">
        <f>IF(AND(K$5&gt;$E35,K$5&lt;=$F35),IF(K$5=$E35+1,$C35,""),"")</f>
        <v/>
      </c>
      <c r="L35" s="34">
        <f>IF(AND(L$5&gt;$E35,L$5&lt;=$F35),IF(L$5=$E35+1,$C35,""),"")</f>
        <v/>
      </c>
      <c r="M35" s="34">
        <f>IF(AND(M$5&gt;$E35,M$5&lt;=$F35),IF(M$5=$E35+1,$C35,""),"")</f>
        <v/>
      </c>
      <c r="N35" s="34">
        <f>IF(AND(N$5&gt;$E35,N$5&lt;=$F35),IF(N$5=$E35+1,$C35,""),"")</f>
        <v/>
      </c>
      <c r="O35" s="34">
        <f>IF(AND(O$5&gt;$E35,O$5&lt;=$F35),IF(O$5=$E35+1,$C35,""),"")</f>
        <v/>
      </c>
      <c r="P35" s="34">
        <f>IF(AND(P$5&gt;$E35,P$5&lt;=$F35),IF(P$5=$E35+1,$C35,""),"")</f>
        <v/>
      </c>
      <c r="Q35" s="34">
        <f>IF(AND(Q$5&gt;$E35,Q$5&lt;=$F35),IF(Q$5=$E35+1,$C35,""),"")</f>
        <v/>
      </c>
      <c r="R35" s="34">
        <f>IF(AND(R$5&gt;$E35,R$5&lt;=$F35),IF(R$5=$E35+1,$C35,""),"")</f>
        <v/>
      </c>
      <c r="S35" s="34">
        <f>IF(AND(S$5&gt;$E35,S$5&lt;=$F35),IF(S$5=$E35+1,$C35,""),"")</f>
        <v/>
      </c>
      <c r="T35" s="34">
        <f>IF(AND(T$5&gt;$E35,T$5&lt;=$F35),IF(T$5=$E35+1,$C35,""),"")</f>
        <v/>
      </c>
      <c r="U35" s="34">
        <f>IF(AND(U$5&gt;$E35,U$5&lt;=$F35),IF(U$5=$E35+1,$C35,""),"")</f>
        <v/>
      </c>
      <c r="V35" s="34">
        <f>IF(AND(V$5&gt;$E35,V$5&lt;=$F35),IF(V$5=$E35+1,$C35,""),"")</f>
        <v/>
      </c>
      <c r="W35" s="34">
        <f>IF(AND(W$5&gt;$E35,W$5&lt;=$F35),IF(W$5=$E35+1,$C35,""),"")</f>
        <v/>
      </c>
      <c r="X35" s="34">
        <f>IF(AND(X$5&gt;$E35,X$5&lt;=$F35),IF(X$5=$E35+1,$C35,""),"")</f>
        <v/>
      </c>
      <c r="Y35" s="34">
        <f>IF(AND(Y$5&gt;$E35,Y$5&lt;=$F35),IF(Y$5=$E35+1,$C35,""),"")</f>
        <v/>
      </c>
      <c r="Z35" s="34">
        <f>IF(AND(Z$5&gt;$E35,Z$5&lt;=$F35),IF(Z$5=$E35+1,$C35,""),"")</f>
        <v/>
      </c>
      <c r="AA35" s="34">
        <f>IF(AND(AA$5&gt;$E35,AA$5&lt;=$F35),IF(AA$5=$E35+1,$C35,""),"")</f>
        <v/>
      </c>
      <c r="AB35" s="34">
        <f>IF(AND(AB$5&gt;$E35,AB$5&lt;=$F35),IF(AB$5=$E35+1,$C35,""),"")</f>
        <v/>
      </c>
      <c r="AC35" s="34">
        <f>IF(AND(AC$5&gt;$E35,AC$5&lt;=$F35),IF(AC$5=$E35+1,$C35,""),"")</f>
        <v/>
      </c>
      <c r="AD35" s="34">
        <f>IF(AND(AD$5&gt;$E35,AD$5&lt;=$F35),IF(AD$5=$E35+1,$C35,""),"")</f>
        <v/>
      </c>
      <c r="AE35" s="34">
        <f>IF(AND(AE$5&gt;$E35,AE$5&lt;=$F35),IF(AE$5=$E35+1,$C35,""),"")</f>
        <v/>
      </c>
      <c r="AF35" s="34">
        <f>IF(AND(AF$5&gt;$E35,AF$5&lt;=$F35),IF(AF$5=$E35+1,$C35,""),"")</f>
        <v/>
      </c>
      <c r="AG35" s="34">
        <f>IF(AND(AG$5&gt;$E35,AG$5&lt;=$F35),IF(AG$5=$E35+1,$C35,""),"")</f>
        <v/>
      </c>
      <c r="AH35" s="34">
        <f>IF(AND(AH$5&gt;$E35,AH$5&lt;=$F35),IF(AH$5=$E35+1,$C35,""),"")</f>
        <v/>
      </c>
      <c r="AI35" s="34">
        <f>IF(AND(AI$5&gt;$E35,AI$5&lt;=$F35),IF(AI$5=$E35+1,$C35,""),"")</f>
        <v/>
      </c>
      <c r="AJ35" s="34">
        <f>IF(AND(AJ$5&gt;$E35,AJ$5&lt;=$F35),IF(AJ$5=$E35+1,$C35,""),"")</f>
        <v/>
      </c>
      <c r="AK35" s="34">
        <f>IF(AND(AK$5&gt;$E35,AK$5&lt;=$F35),IF(AK$5=$E35+1,$C35,""),"")</f>
        <v/>
      </c>
      <c r="AL35" s="34">
        <f>IF(AND(AL$5&gt;$E35,AL$5&lt;=$F35),IF(AL$5=$E35+1,$C35,""),"")</f>
        <v/>
      </c>
      <c r="AM35" s="34">
        <f>IF(AND(AM$5&gt;$E35,AM$5&lt;=$F35),IF(AM$5=$E35+1,$C35,""),"")</f>
        <v/>
      </c>
      <c r="AN35" s="34">
        <f>IF(AND(AN$5&gt;$E35,AN$5&lt;=$F35),IF(AN$5=$E35+1,$C35,""),"")</f>
        <v/>
      </c>
      <c r="AO35" s="34">
        <f>IF(AND(AO$5&gt;$E35,AO$5&lt;=$F35),IF(AO$5=$E35+1,$C35,""),"")</f>
        <v/>
      </c>
      <c r="AP35" s="34">
        <f>IF(AND(AP$5&gt;$E35,AP$5&lt;=$F35),IF(AP$5=$E35+1,$C35,""),"")</f>
        <v/>
      </c>
      <c r="AQ35" s="34">
        <f>IF(AND(AQ$5&gt;$E35,AQ$5&lt;=$F35),IF(AQ$5=$E35+1,$C35,""),"")</f>
        <v/>
      </c>
      <c r="AR35" s="34">
        <f>IF(AND(AR$5&gt;$E35,AR$5&lt;=$F35),IF(AR$5=$E35+1,$C35,""),"")</f>
        <v/>
      </c>
      <c r="AS35" s="34">
        <f>IF(AND(AS$5&gt;$E35,AS$5&lt;=$F35),IF(AS$5=$E35+1,$C35,""),"")</f>
        <v/>
      </c>
      <c r="AT35" s="34">
        <f>IF(AND(AT$5&gt;$E35,AT$5&lt;=$F35),IF(AT$5=$E35+1,$C35,""),"")</f>
        <v/>
      </c>
      <c r="AU35" s="34">
        <f>IF(AND(AU$5&gt;$E35,AU$5&lt;=$F35),IF(AU$5=$E35+1,$C35,""),"")</f>
        <v/>
      </c>
      <c r="AV35" s="34">
        <f>IF(AND(AV$5&gt;$E35,AV$5&lt;=$F35),IF(AV$5=$E35+1,$C35,""),"")</f>
        <v/>
      </c>
      <c r="AW35" s="34">
        <f>IF(AND(AW$5&gt;$E35,AW$5&lt;=$F35),IF(AW$5=$E35+1,$C35,""),"")</f>
        <v/>
      </c>
      <c r="AX35" s="34">
        <f>IF(AND(AX$5&gt;$E35,AX$5&lt;=$F35),IF(AX$5=$E35+1,$C35,""),"")</f>
        <v/>
      </c>
      <c r="AY35" s="34">
        <f>IF(AND(AY$5&gt;$E35,AY$5&lt;=$F35),IF(AY$5=$E35+1,$C35,""),"")</f>
        <v/>
      </c>
      <c r="AZ35" s="34">
        <f>IF(AND(AZ$5&gt;$E35,AZ$5&lt;=$F35),IF(AZ$5=$E35+1,$C35,""),"")</f>
        <v/>
      </c>
      <c r="BA35" s="34">
        <f>IF(AND(BA$5&gt;$E35,BA$5&lt;=$F35),IF(BA$5=$E35+1,$C35,""),"")</f>
        <v/>
      </c>
      <c r="BB35" s="34">
        <f>IF(AND(BB$5&gt;$E35,BB$5&lt;=$F35),IF(BB$5=$E35+1,$C35,""),"")</f>
        <v/>
      </c>
      <c r="BC35" s="34">
        <f>IF(AND(BC$5&gt;$E35,BC$5&lt;=$F35),IF(BC$5=$E35+1,$C35,""),"")</f>
        <v/>
      </c>
      <c r="BD35" s="34">
        <f>IF(AND(BD$5&gt;$E35,BD$5&lt;=$F35),IF(BD$5=$E35+1,$C35,""),"")</f>
        <v/>
      </c>
      <c r="BE35" s="34">
        <f>IF(AND(BE$5&gt;$E35,BE$5&lt;=$F35),IF(BE$5=$E35+1,$C35,""),"")</f>
        <v/>
      </c>
      <c r="BF35" s="34">
        <f>IF(AND(BF$5&gt;$E35,BF$5&lt;=$F35),IF(BF$5=$E35+1,$C35,""),"")</f>
        <v/>
      </c>
      <c r="BG35" s="34">
        <f>IF(AND(BG$5&gt;$E35,BG$5&lt;=$F35),IF(BG$5=$E35+1,$C35,""),"")</f>
        <v/>
      </c>
      <c r="BH35" s="34">
        <f>IF(AND(BH$5&gt;$E35,BH$5&lt;=$F35),IF(BH$5=$E35+1,$C35,""),"")</f>
        <v/>
      </c>
      <c r="BI35" s="34">
        <f>IF(AND(BI$5&gt;$E35,BI$5&lt;=$F35),IF(BI$5=$E35+1,$C35,""),"")</f>
        <v/>
      </c>
      <c r="BJ35" s="34">
        <f>IF(AND(BJ$5&gt;$E35,BJ$5&lt;=$F35),IF(BJ$5=$E35+1,$C35,""),"")</f>
        <v/>
      </c>
      <c r="BK35" s="34">
        <f>IF(AND(BK$5&gt;$E35,BK$5&lt;=$F35),IF(BK$5=$E35+1,$C35,""),"")</f>
        <v/>
      </c>
      <c r="BL35" s="34">
        <f>IF(AND(BL$5&gt;$E35,BL$5&lt;=$F35),IF(BL$5=$E35+1,$C35,""),"")</f>
        <v/>
      </c>
      <c r="BM35" s="34">
        <f>IF(AND(BM$5&gt;$E35,BM$5&lt;=$F35),IF(BM$5=$E35+1,$C35,""),"")</f>
        <v/>
      </c>
      <c r="BN35" s="34">
        <f>IF(AND(BN$5&gt;$E35,BN$5&lt;=$F35),IF(BN$5=$E35+1,$C35,""),"")</f>
        <v/>
      </c>
      <c r="BO35" s="34">
        <f>IF(AND(BO$5&gt;$E35,BO$5&lt;=$F35),IF(BO$5=$E35+1,$C35,""),"")</f>
        <v/>
      </c>
      <c r="BP35" s="34">
        <f>IF(AND(BP$5&gt;$E35,BP$5&lt;=$F35),IF(BP$5=$E35+1,$C35,""),"")</f>
        <v/>
      </c>
      <c r="BQ35" s="34">
        <f>IF(AND(BQ$5&gt;$E35,BQ$5&lt;=$F35),IF(BQ$5=$E35+1,$C35,""),"")</f>
        <v/>
      </c>
      <c r="BR35" s="34">
        <f>IF(AND(BR$5&gt;$E35,BR$5&lt;=$F35),IF(BR$5=$E35+1,$C35,""),"")</f>
        <v/>
      </c>
      <c r="BS35" s="34">
        <f>IF(AND(BS$5&gt;$E35,BS$5&lt;=$F35),IF(BS$5=$E35+1,$C35,""),"")</f>
        <v/>
      </c>
      <c r="BT35" s="34">
        <f>IF(AND(BT$5&gt;$E35,BT$5&lt;=$F35),IF(BT$5=$E35+1,$C35,""),"")</f>
        <v/>
      </c>
      <c r="BU35" s="34">
        <f>IF(AND(BU$5&gt;$E35,BU$5&lt;=$F35),IF(BU$5=$E35+1,$C35,""),"")</f>
        <v/>
      </c>
      <c r="BV35" s="34">
        <f>IF(AND(BV$5&gt;$E35,BV$5&lt;=$F35),IF(BV$5=$E35+1,$C35,""),"")</f>
        <v/>
      </c>
      <c r="BW35" s="34">
        <f>IF(AND(BW$5&gt;$E35,BW$5&lt;=$F35),IF(BW$5=$E35+1,$C35,""),"")</f>
        <v/>
      </c>
      <c r="BX35" s="34">
        <f>IF(AND(BX$5&gt;$E35,BX$5&lt;=$F35),IF(BX$5=$E35+1,$C35,""),"")</f>
        <v/>
      </c>
      <c r="BY35" s="34">
        <f>IF(AND(BY$5&gt;$E35,BY$5&lt;=$F35),IF(BY$5=$E35+1,$C35,""),"")</f>
        <v/>
      </c>
      <c r="BZ35" s="34">
        <f>IF(AND(BZ$5&gt;$E35,BZ$5&lt;=$F35),IF(BZ$5=$E35+1,$C35,""),"")</f>
        <v/>
      </c>
      <c r="CA35" s="34">
        <f>IF(AND(CA$5&gt;$E35,CA$5&lt;=$F35),IF(CA$5=$E35+1,$C35,""),"")</f>
        <v/>
      </c>
      <c r="CB35" s="34">
        <f>IF(AND(CB$5&gt;$E35,CB$5&lt;=$F35),IF(CB$5=$E35+1,$C35,""),"")</f>
        <v/>
      </c>
      <c r="CC35" s="34">
        <f>IF(AND(CC$5&gt;$E35,CC$5&lt;=$F35),IF(CC$5=$E35+1,$C35,""),"")</f>
        <v/>
      </c>
      <c r="CD35" s="34">
        <f>IF(AND(CD$5&gt;$E35,CD$5&lt;=$F35),IF(CD$5=$E35+1,$C35,""),"")</f>
        <v/>
      </c>
      <c r="CE35" s="34">
        <f>IF(AND(CE$5&gt;$E35,CE$5&lt;=$F35),IF(CE$5=$E35+1,$C35,""),"")</f>
        <v/>
      </c>
      <c r="CF35" s="34">
        <f>IF(AND(CF$5&gt;$E35,CF$5&lt;=$F35),IF(CF$5=$E35+1,$C35,""),"")</f>
        <v/>
      </c>
      <c r="CG35" s="34">
        <f>IF(AND(CG$5&gt;$E35,CG$5&lt;=$F35),IF(CG$5=$E35+1,$C35,""),"")</f>
        <v/>
      </c>
      <c r="CH35" s="34">
        <f>IF(AND(CH$5&gt;$E35,CH$5&lt;=$F35),IF(CH$5=$E35+1,$C35,""),"")</f>
        <v/>
      </c>
      <c r="CI35" s="34">
        <f>IF(AND(CI$5&gt;$E35,CI$5&lt;=$F35),IF(CI$5=$E35+1,$C35,""),"")</f>
        <v/>
      </c>
      <c r="CJ35" s="34">
        <f>IF(AND(CJ$5&gt;$E35,CJ$5&lt;=$F35),IF(CJ$5=$E35+1,$C35,""),"")</f>
        <v/>
      </c>
      <c r="CK35" s="34">
        <f>IF(AND(CK$5&gt;$E35,CK$5&lt;=$F35),IF(CK$5=$E35+1,$C35,""),"")</f>
        <v/>
      </c>
      <c r="CL35" s="34">
        <f>IF(AND(CL$5&gt;$E35,CL$5&lt;=$F35),IF(CL$5=$E35+1,$C35,""),"")</f>
        <v/>
      </c>
      <c r="CM35" s="34">
        <f>IF(AND(CM$5&gt;$E35,CM$5&lt;=$F35),IF(CM$5=$E35+1,$C35,""),"")</f>
        <v/>
      </c>
      <c r="CN35" s="34">
        <f>IF(AND(CN$5&gt;$E35,CN$5&lt;=$F35),IF(CN$5=$E35+1,$C35,""),"")</f>
        <v/>
      </c>
      <c r="CO35" s="34">
        <f>IF(AND(CO$5&gt;$E35,CO$5&lt;=$F35),IF(CO$5=$E35+1,$C35,""),"")</f>
        <v/>
      </c>
      <c r="CP35" s="34">
        <f>IF(AND(CP$5&gt;$E35,CP$5&lt;=$F35),IF(CP$5=$E35+1,$C35,""),"")</f>
        <v/>
      </c>
      <c r="CQ35" s="34">
        <f>IF(AND(CQ$5&gt;$E35,CQ$5&lt;=$F35),IF(CQ$5=$E35+1,$C35,""),"")</f>
        <v/>
      </c>
      <c r="CR35" s="34">
        <f>IF(AND(CR$5&gt;$E35,CR$5&lt;=$F35),IF(CR$5=$E35+1,$C35,""),"")</f>
        <v/>
      </c>
      <c r="CS35" s="34">
        <f>IF(AND(CS$5&gt;$E35,CS$5&lt;=$F35),IF(CS$5=$E35+1,$C35,""),"")</f>
        <v/>
      </c>
    </row>
    <row r="36">
      <c r="A36" s="32">
        <f>Plan!A29</f>
        <v/>
      </c>
      <c r="B36" s="33">
        <f>Plan!C29</f>
        <v/>
      </c>
      <c r="C36" s="16">
        <f>Plan!D29</f>
        <v/>
      </c>
      <c r="D36" s="16">
        <f>Plan!I29</f>
        <v/>
      </c>
      <c r="E36" s="16">
        <f>Plan!K29</f>
        <v/>
      </c>
      <c r="F36" s="16">
        <f>Plan!L29</f>
        <v/>
      </c>
      <c r="G36" s="16">
        <f>Plan!O29</f>
        <v/>
      </c>
      <c r="H36" s="34">
        <f>IF(AND(H$5&gt;$E36,H$5&lt;=$F36),IF(H$5=$E36+1,$C36,""),"")</f>
        <v/>
      </c>
      <c r="I36" s="34">
        <f>IF(AND(I$5&gt;$E36,I$5&lt;=$F36),IF(I$5=$E36+1,$C36,""),"")</f>
        <v/>
      </c>
      <c r="J36" s="34">
        <f>IF(AND(J$5&gt;$E36,J$5&lt;=$F36),IF(J$5=$E36+1,$C36,""),"")</f>
        <v/>
      </c>
      <c r="K36" s="34">
        <f>IF(AND(K$5&gt;$E36,K$5&lt;=$F36),IF(K$5=$E36+1,$C36,""),"")</f>
        <v/>
      </c>
      <c r="L36" s="34">
        <f>IF(AND(L$5&gt;$E36,L$5&lt;=$F36),IF(L$5=$E36+1,$C36,""),"")</f>
        <v/>
      </c>
      <c r="M36" s="34">
        <f>IF(AND(M$5&gt;$E36,M$5&lt;=$F36),IF(M$5=$E36+1,$C36,""),"")</f>
        <v/>
      </c>
      <c r="N36" s="34">
        <f>IF(AND(N$5&gt;$E36,N$5&lt;=$F36),IF(N$5=$E36+1,$C36,""),"")</f>
        <v/>
      </c>
      <c r="O36" s="34">
        <f>IF(AND(O$5&gt;$E36,O$5&lt;=$F36),IF(O$5=$E36+1,$C36,""),"")</f>
        <v/>
      </c>
      <c r="P36" s="34">
        <f>IF(AND(P$5&gt;$E36,P$5&lt;=$F36),IF(P$5=$E36+1,$C36,""),"")</f>
        <v/>
      </c>
      <c r="Q36" s="34">
        <f>IF(AND(Q$5&gt;$E36,Q$5&lt;=$F36),IF(Q$5=$E36+1,$C36,""),"")</f>
        <v/>
      </c>
      <c r="R36" s="34">
        <f>IF(AND(R$5&gt;$E36,R$5&lt;=$F36),IF(R$5=$E36+1,$C36,""),"")</f>
        <v/>
      </c>
      <c r="S36" s="34">
        <f>IF(AND(S$5&gt;$E36,S$5&lt;=$F36),IF(S$5=$E36+1,$C36,""),"")</f>
        <v/>
      </c>
      <c r="T36" s="34">
        <f>IF(AND(T$5&gt;$E36,T$5&lt;=$F36),IF(T$5=$E36+1,$C36,""),"")</f>
        <v/>
      </c>
      <c r="U36" s="34">
        <f>IF(AND(U$5&gt;$E36,U$5&lt;=$F36),IF(U$5=$E36+1,$C36,""),"")</f>
        <v/>
      </c>
      <c r="V36" s="34">
        <f>IF(AND(V$5&gt;$E36,V$5&lt;=$F36),IF(V$5=$E36+1,$C36,""),"")</f>
        <v/>
      </c>
      <c r="W36" s="34">
        <f>IF(AND(W$5&gt;$E36,W$5&lt;=$F36),IF(W$5=$E36+1,$C36,""),"")</f>
        <v/>
      </c>
      <c r="X36" s="34">
        <f>IF(AND(X$5&gt;$E36,X$5&lt;=$F36),IF(X$5=$E36+1,$C36,""),"")</f>
        <v/>
      </c>
      <c r="Y36" s="34">
        <f>IF(AND(Y$5&gt;$E36,Y$5&lt;=$F36),IF(Y$5=$E36+1,$C36,""),"")</f>
        <v/>
      </c>
      <c r="Z36" s="34">
        <f>IF(AND(Z$5&gt;$E36,Z$5&lt;=$F36),IF(Z$5=$E36+1,$C36,""),"")</f>
        <v/>
      </c>
      <c r="AA36" s="34">
        <f>IF(AND(AA$5&gt;$E36,AA$5&lt;=$F36),IF(AA$5=$E36+1,$C36,""),"")</f>
        <v/>
      </c>
      <c r="AB36" s="34">
        <f>IF(AND(AB$5&gt;$E36,AB$5&lt;=$F36),IF(AB$5=$E36+1,$C36,""),"")</f>
        <v/>
      </c>
      <c r="AC36" s="34">
        <f>IF(AND(AC$5&gt;$E36,AC$5&lt;=$F36),IF(AC$5=$E36+1,$C36,""),"")</f>
        <v/>
      </c>
      <c r="AD36" s="34">
        <f>IF(AND(AD$5&gt;$E36,AD$5&lt;=$F36),IF(AD$5=$E36+1,$C36,""),"")</f>
        <v/>
      </c>
      <c r="AE36" s="34">
        <f>IF(AND(AE$5&gt;$E36,AE$5&lt;=$F36),IF(AE$5=$E36+1,$C36,""),"")</f>
        <v/>
      </c>
      <c r="AF36" s="34">
        <f>IF(AND(AF$5&gt;$E36,AF$5&lt;=$F36),IF(AF$5=$E36+1,$C36,""),"")</f>
        <v/>
      </c>
      <c r="AG36" s="34">
        <f>IF(AND(AG$5&gt;$E36,AG$5&lt;=$F36),IF(AG$5=$E36+1,$C36,""),"")</f>
        <v/>
      </c>
      <c r="AH36" s="34">
        <f>IF(AND(AH$5&gt;$E36,AH$5&lt;=$F36),IF(AH$5=$E36+1,$C36,""),"")</f>
        <v/>
      </c>
      <c r="AI36" s="34">
        <f>IF(AND(AI$5&gt;$E36,AI$5&lt;=$F36),IF(AI$5=$E36+1,$C36,""),"")</f>
        <v/>
      </c>
      <c r="AJ36" s="34">
        <f>IF(AND(AJ$5&gt;$E36,AJ$5&lt;=$F36),IF(AJ$5=$E36+1,$C36,""),"")</f>
        <v/>
      </c>
      <c r="AK36" s="34">
        <f>IF(AND(AK$5&gt;$E36,AK$5&lt;=$F36),IF(AK$5=$E36+1,$C36,""),"")</f>
        <v/>
      </c>
      <c r="AL36" s="34">
        <f>IF(AND(AL$5&gt;$E36,AL$5&lt;=$F36),IF(AL$5=$E36+1,$C36,""),"")</f>
        <v/>
      </c>
      <c r="AM36" s="34">
        <f>IF(AND(AM$5&gt;$E36,AM$5&lt;=$F36),IF(AM$5=$E36+1,$C36,""),"")</f>
        <v/>
      </c>
      <c r="AN36" s="34">
        <f>IF(AND(AN$5&gt;$E36,AN$5&lt;=$F36),IF(AN$5=$E36+1,$C36,""),"")</f>
        <v/>
      </c>
      <c r="AO36" s="34">
        <f>IF(AND(AO$5&gt;$E36,AO$5&lt;=$F36),IF(AO$5=$E36+1,$C36,""),"")</f>
        <v/>
      </c>
      <c r="AP36" s="34">
        <f>IF(AND(AP$5&gt;$E36,AP$5&lt;=$F36),IF(AP$5=$E36+1,$C36,""),"")</f>
        <v/>
      </c>
      <c r="AQ36" s="34">
        <f>IF(AND(AQ$5&gt;$E36,AQ$5&lt;=$F36),IF(AQ$5=$E36+1,$C36,""),"")</f>
        <v/>
      </c>
      <c r="AR36" s="34">
        <f>IF(AND(AR$5&gt;$E36,AR$5&lt;=$F36),IF(AR$5=$E36+1,$C36,""),"")</f>
        <v/>
      </c>
      <c r="AS36" s="34">
        <f>IF(AND(AS$5&gt;$E36,AS$5&lt;=$F36),IF(AS$5=$E36+1,$C36,""),"")</f>
        <v/>
      </c>
      <c r="AT36" s="34">
        <f>IF(AND(AT$5&gt;$E36,AT$5&lt;=$F36),IF(AT$5=$E36+1,$C36,""),"")</f>
        <v/>
      </c>
      <c r="AU36" s="34">
        <f>IF(AND(AU$5&gt;$E36,AU$5&lt;=$F36),IF(AU$5=$E36+1,$C36,""),"")</f>
        <v/>
      </c>
      <c r="AV36" s="34">
        <f>IF(AND(AV$5&gt;$E36,AV$5&lt;=$F36),IF(AV$5=$E36+1,$C36,""),"")</f>
        <v/>
      </c>
      <c r="AW36" s="34">
        <f>IF(AND(AW$5&gt;$E36,AW$5&lt;=$F36),IF(AW$5=$E36+1,$C36,""),"")</f>
        <v/>
      </c>
      <c r="AX36" s="34">
        <f>IF(AND(AX$5&gt;$E36,AX$5&lt;=$F36),IF(AX$5=$E36+1,$C36,""),"")</f>
        <v/>
      </c>
      <c r="AY36" s="34">
        <f>IF(AND(AY$5&gt;$E36,AY$5&lt;=$F36),IF(AY$5=$E36+1,$C36,""),"")</f>
        <v/>
      </c>
      <c r="AZ36" s="34">
        <f>IF(AND(AZ$5&gt;$E36,AZ$5&lt;=$F36),IF(AZ$5=$E36+1,$C36,""),"")</f>
        <v/>
      </c>
      <c r="BA36" s="34">
        <f>IF(AND(BA$5&gt;$E36,BA$5&lt;=$F36),IF(BA$5=$E36+1,$C36,""),"")</f>
        <v/>
      </c>
      <c r="BB36" s="34">
        <f>IF(AND(BB$5&gt;$E36,BB$5&lt;=$F36),IF(BB$5=$E36+1,$C36,""),"")</f>
        <v/>
      </c>
      <c r="BC36" s="34">
        <f>IF(AND(BC$5&gt;$E36,BC$5&lt;=$F36),IF(BC$5=$E36+1,$C36,""),"")</f>
        <v/>
      </c>
      <c r="BD36" s="34">
        <f>IF(AND(BD$5&gt;$E36,BD$5&lt;=$F36),IF(BD$5=$E36+1,$C36,""),"")</f>
        <v/>
      </c>
      <c r="BE36" s="34">
        <f>IF(AND(BE$5&gt;$E36,BE$5&lt;=$F36),IF(BE$5=$E36+1,$C36,""),"")</f>
        <v/>
      </c>
      <c r="BF36" s="34">
        <f>IF(AND(BF$5&gt;$E36,BF$5&lt;=$F36),IF(BF$5=$E36+1,$C36,""),"")</f>
        <v/>
      </c>
      <c r="BG36" s="34">
        <f>IF(AND(BG$5&gt;$E36,BG$5&lt;=$F36),IF(BG$5=$E36+1,$C36,""),"")</f>
        <v/>
      </c>
      <c r="BH36" s="34">
        <f>IF(AND(BH$5&gt;$E36,BH$5&lt;=$F36),IF(BH$5=$E36+1,$C36,""),"")</f>
        <v/>
      </c>
      <c r="BI36" s="34">
        <f>IF(AND(BI$5&gt;$E36,BI$5&lt;=$F36),IF(BI$5=$E36+1,$C36,""),"")</f>
        <v/>
      </c>
      <c r="BJ36" s="34">
        <f>IF(AND(BJ$5&gt;$E36,BJ$5&lt;=$F36),IF(BJ$5=$E36+1,$C36,""),"")</f>
        <v/>
      </c>
      <c r="BK36" s="34">
        <f>IF(AND(BK$5&gt;$E36,BK$5&lt;=$F36),IF(BK$5=$E36+1,$C36,""),"")</f>
        <v/>
      </c>
      <c r="BL36" s="34">
        <f>IF(AND(BL$5&gt;$E36,BL$5&lt;=$F36),IF(BL$5=$E36+1,$C36,""),"")</f>
        <v/>
      </c>
      <c r="BM36" s="34">
        <f>IF(AND(BM$5&gt;$E36,BM$5&lt;=$F36),IF(BM$5=$E36+1,$C36,""),"")</f>
        <v/>
      </c>
      <c r="BN36" s="34">
        <f>IF(AND(BN$5&gt;$E36,BN$5&lt;=$F36),IF(BN$5=$E36+1,$C36,""),"")</f>
        <v/>
      </c>
      <c r="BO36" s="34">
        <f>IF(AND(BO$5&gt;$E36,BO$5&lt;=$F36),IF(BO$5=$E36+1,$C36,""),"")</f>
        <v/>
      </c>
      <c r="BP36" s="34">
        <f>IF(AND(BP$5&gt;$E36,BP$5&lt;=$F36),IF(BP$5=$E36+1,$C36,""),"")</f>
        <v/>
      </c>
      <c r="BQ36" s="34">
        <f>IF(AND(BQ$5&gt;$E36,BQ$5&lt;=$F36),IF(BQ$5=$E36+1,$C36,""),"")</f>
        <v/>
      </c>
      <c r="BR36" s="34">
        <f>IF(AND(BR$5&gt;$E36,BR$5&lt;=$F36),IF(BR$5=$E36+1,$C36,""),"")</f>
        <v/>
      </c>
      <c r="BS36" s="34">
        <f>IF(AND(BS$5&gt;$E36,BS$5&lt;=$F36),IF(BS$5=$E36+1,$C36,""),"")</f>
        <v/>
      </c>
      <c r="BT36" s="34">
        <f>IF(AND(BT$5&gt;$E36,BT$5&lt;=$F36),IF(BT$5=$E36+1,$C36,""),"")</f>
        <v/>
      </c>
      <c r="BU36" s="34">
        <f>IF(AND(BU$5&gt;$E36,BU$5&lt;=$F36),IF(BU$5=$E36+1,$C36,""),"")</f>
        <v/>
      </c>
      <c r="BV36" s="34">
        <f>IF(AND(BV$5&gt;$E36,BV$5&lt;=$F36),IF(BV$5=$E36+1,$C36,""),"")</f>
        <v/>
      </c>
      <c r="BW36" s="34">
        <f>IF(AND(BW$5&gt;$E36,BW$5&lt;=$F36),IF(BW$5=$E36+1,$C36,""),"")</f>
        <v/>
      </c>
      <c r="BX36" s="34">
        <f>IF(AND(BX$5&gt;$E36,BX$5&lt;=$F36),IF(BX$5=$E36+1,$C36,""),"")</f>
        <v/>
      </c>
      <c r="BY36" s="34">
        <f>IF(AND(BY$5&gt;$E36,BY$5&lt;=$F36),IF(BY$5=$E36+1,$C36,""),"")</f>
        <v/>
      </c>
      <c r="BZ36" s="34">
        <f>IF(AND(BZ$5&gt;$E36,BZ$5&lt;=$F36),IF(BZ$5=$E36+1,$C36,""),"")</f>
        <v/>
      </c>
      <c r="CA36" s="34">
        <f>IF(AND(CA$5&gt;$E36,CA$5&lt;=$F36),IF(CA$5=$E36+1,$C36,""),"")</f>
        <v/>
      </c>
      <c r="CB36" s="34">
        <f>IF(AND(CB$5&gt;$E36,CB$5&lt;=$F36),IF(CB$5=$E36+1,$C36,""),"")</f>
        <v/>
      </c>
      <c r="CC36" s="34">
        <f>IF(AND(CC$5&gt;$E36,CC$5&lt;=$F36),IF(CC$5=$E36+1,$C36,""),"")</f>
        <v/>
      </c>
      <c r="CD36" s="34">
        <f>IF(AND(CD$5&gt;$E36,CD$5&lt;=$F36),IF(CD$5=$E36+1,$C36,""),"")</f>
        <v/>
      </c>
      <c r="CE36" s="34">
        <f>IF(AND(CE$5&gt;$E36,CE$5&lt;=$F36),IF(CE$5=$E36+1,$C36,""),"")</f>
        <v/>
      </c>
      <c r="CF36" s="34">
        <f>IF(AND(CF$5&gt;$E36,CF$5&lt;=$F36),IF(CF$5=$E36+1,$C36,""),"")</f>
        <v/>
      </c>
      <c r="CG36" s="34">
        <f>IF(AND(CG$5&gt;$E36,CG$5&lt;=$F36),IF(CG$5=$E36+1,$C36,""),"")</f>
        <v/>
      </c>
      <c r="CH36" s="34">
        <f>IF(AND(CH$5&gt;$E36,CH$5&lt;=$F36),IF(CH$5=$E36+1,$C36,""),"")</f>
        <v/>
      </c>
      <c r="CI36" s="34">
        <f>IF(AND(CI$5&gt;$E36,CI$5&lt;=$F36),IF(CI$5=$E36+1,$C36,""),"")</f>
        <v/>
      </c>
      <c r="CJ36" s="34">
        <f>IF(AND(CJ$5&gt;$E36,CJ$5&lt;=$F36),IF(CJ$5=$E36+1,$C36,""),"")</f>
        <v/>
      </c>
      <c r="CK36" s="34">
        <f>IF(AND(CK$5&gt;$E36,CK$5&lt;=$F36),IF(CK$5=$E36+1,$C36,""),"")</f>
        <v/>
      </c>
      <c r="CL36" s="34">
        <f>IF(AND(CL$5&gt;$E36,CL$5&lt;=$F36),IF(CL$5=$E36+1,$C36,""),"")</f>
        <v/>
      </c>
      <c r="CM36" s="34">
        <f>IF(AND(CM$5&gt;$E36,CM$5&lt;=$F36),IF(CM$5=$E36+1,$C36,""),"")</f>
        <v/>
      </c>
      <c r="CN36" s="34">
        <f>IF(AND(CN$5&gt;$E36,CN$5&lt;=$F36),IF(CN$5=$E36+1,$C36,""),"")</f>
        <v/>
      </c>
      <c r="CO36" s="34">
        <f>IF(AND(CO$5&gt;$E36,CO$5&lt;=$F36),IF(CO$5=$E36+1,$C36,""),"")</f>
        <v/>
      </c>
      <c r="CP36" s="34">
        <f>IF(AND(CP$5&gt;$E36,CP$5&lt;=$F36),IF(CP$5=$E36+1,$C36,""),"")</f>
        <v/>
      </c>
      <c r="CQ36" s="34">
        <f>IF(AND(CQ$5&gt;$E36,CQ$5&lt;=$F36),IF(CQ$5=$E36+1,$C36,""),"")</f>
        <v/>
      </c>
      <c r="CR36" s="34">
        <f>IF(AND(CR$5&gt;$E36,CR$5&lt;=$F36),IF(CR$5=$E36+1,$C36,""),"")</f>
        <v/>
      </c>
      <c r="CS36" s="34">
        <f>IF(AND(CS$5&gt;$E36,CS$5&lt;=$F36),IF(CS$5=$E36+1,$C36,""),"")</f>
        <v/>
      </c>
    </row>
    <row r="37">
      <c r="A37" s="32">
        <f>Plan!A30</f>
        <v/>
      </c>
      <c r="B37" s="33">
        <f>Plan!C30</f>
        <v/>
      </c>
      <c r="C37" s="16">
        <f>Plan!D30</f>
        <v/>
      </c>
      <c r="D37" s="16">
        <f>Plan!I30</f>
        <v/>
      </c>
      <c r="E37" s="16">
        <f>Plan!K30</f>
        <v/>
      </c>
      <c r="F37" s="16">
        <f>Plan!L30</f>
        <v/>
      </c>
      <c r="G37" s="16">
        <f>Plan!O30</f>
        <v/>
      </c>
      <c r="H37" s="34">
        <f>IF(AND(H$5&gt;$E37,H$5&lt;=$F37),IF(H$5=$E37+1,$C37,""),"")</f>
        <v/>
      </c>
      <c r="I37" s="34">
        <f>IF(AND(I$5&gt;$E37,I$5&lt;=$F37),IF(I$5=$E37+1,$C37,""),"")</f>
        <v/>
      </c>
      <c r="J37" s="34">
        <f>IF(AND(J$5&gt;$E37,J$5&lt;=$F37),IF(J$5=$E37+1,$C37,""),"")</f>
        <v/>
      </c>
      <c r="K37" s="34">
        <f>IF(AND(K$5&gt;$E37,K$5&lt;=$F37),IF(K$5=$E37+1,$C37,""),"")</f>
        <v/>
      </c>
      <c r="L37" s="34">
        <f>IF(AND(L$5&gt;$E37,L$5&lt;=$F37),IF(L$5=$E37+1,$C37,""),"")</f>
        <v/>
      </c>
      <c r="M37" s="34">
        <f>IF(AND(M$5&gt;$E37,M$5&lt;=$F37),IF(M$5=$E37+1,$C37,""),"")</f>
        <v/>
      </c>
      <c r="N37" s="34">
        <f>IF(AND(N$5&gt;$E37,N$5&lt;=$F37),IF(N$5=$E37+1,$C37,""),"")</f>
        <v/>
      </c>
      <c r="O37" s="34">
        <f>IF(AND(O$5&gt;$E37,O$5&lt;=$F37),IF(O$5=$E37+1,$C37,""),"")</f>
        <v/>
      </c>
      <c r="P37" s="34">
        <f>IF(AND(P$5&gt;$E37,P$5&lt;=$F37),IF(P$5=$E37+1,$C37,""),"")</f>
        <v/>
      </c>
      <c r="Q37" s="34">
        <f>IF(AND(Q$5&gt;$E37,Q$5&lt;=$F37),IF(Q$5=$E37+1,$C37,""),"")</f>
        <v/>
      </c>
      <c r="R37" s="34">
        <f>IF(AND(R$5&gt;$E37,R$5&lt;=$F37),IF(R$5=$E37+1,$C37,""),"")</f>
        <v/>
      </c>
      <c r="S37" s="34">
        <f>IF(AND(S$5&gt;$E37,S$5&lt;=$F37),IF(S$5=$E37+1,$C37,""),"")</f>
        <v/>
      </c>
      <c r="T37" s="34">
        <f>IF(AND(T$5&gt;$E37,T$5&lt;=$F37),IF(T$5=$E37+1,$C37,""),"")</f>
        <v/>
      </c>
      <c r="U37" s="34">
        <f>IF(AND(U$5&gt;$E37,U$5&lt;=$F37),IF(U$5=$E37+1,$C37,""),"")</f>
        <v/>
      </c>
      <c r="V37" s="34">
        <f>IF(AND(V$5&gt;$E37,V$5&lt;=$F37),IF(V$5=$E37+1,$C37,""),"")</f>
        <v/>
      </c>
      <c r="W37" s="34">
        <f>IF(AND(W$5&gt;$E37,W$5&lt;=$F37),IF(W$5=$E37+1,$C37,""),"")</f>
        <v/>
      </c>
      <c r="X37" s="34">
        <f>IF(AND(X$5&gt;$E37,X$5&lt;=$F37),IF(X$5=$E37+1,$C37,""),"")</f>
        <v/>
      </c>
      <c r="Y37" s="34">
        <f>IF(AND(Y$5&gt;$E37,Y$5&lt;=$F37),IF(Y$5=$E37+1,$C37,""),"")</f>
        <v/>
      </c>
      <c r="Z37" s="34">
        <f>IF(AND(Z$5&gt;$E37,Z$5&lt;=$F37),IF(Z$5=$E37+1,$C37,""),"")</f>
        <v/>
      </c>
      <c r="AA37" s="34">
        <f>IF(AND(AA$5&gt;$E37,AA$5&lt;=$F37),IF(AA$5=$E37+1,$C37,""),"")</f>
        <v/>
      </c>
      <c r="AB37" s="34">
        <f>IF(AND(AB$5&gt;$E37,AB$5&lt;=$F37),IF(AB$5=$E37+1,$C37,""),"")</f>
        <v/>
      </c>
      <c r="AC37" s="34">
        <f>IF(AND(AC$5&gt;$E37,AC$5&lt;=$F37),IF(AC$5=$E37+1,$C37,""),"")</f>
        <v/>
      </c>
      <c r="AD37" s="34">
        <f>IF(AND(AD$5&gt;$E37,AD$5&lt;=$F37),IF(AD$5=$E37+1,$C37,""),"")</f>
        <v/>
      </c>
      <c r="AE37" s="34">
        <f>IF(AND(AE$5&gt;$E37,AE$5&lt;=$F37),IF(AE$5=$E37+1,$C37,""),"")</f>
        <v/>
      </c>
      <c r="AF37" s="34">
        <f>IF(AND(AF$5&gt;$E37,AF$5&lt;=$F37),IF(AF$5=$E37+1,$C37,""),"")</f>
        <v/>
      </c>
      <c r="AG37" s="34">
        <f>IF(AND(AG$5&gt;$E37,AG$5&lt;=$F37),IF(AG$5=$E37+1,$C37,""),"")</f>
        <v/>
      </c>
      <c r="AH37" s="34">
        <f>IF(AND(AH$5&gt;$E37,AH$5&lt;=$F37),IF(AH$5=$E37+1,$C37,""),"")</f>
        <v/>
      </c>
      <c r="AI37" s="34">
        <f>IF(AND(AI$5&gt;$E37,AI$5&lt;=$F37),IF(AI$5=$E37+1,$C37,""),"")</f>
        <v/>
      </c>
      <c r="AJ37" s="34">
        <f>IF(AND(AJ$5&gt;$E37,AJ$5&lt;=$F37),IF(AJ$5=$E37+1,$C37,""),"")</f>
        <v/>
      </c>
      <c r="AK37" s="34">
        <f>IF(AND(AK$5&gt;$E37,AK$5&lt;=$F37),IF(AK$5=$E37+1,$C37,""),"")</f>
        <v/>
      </c>
      <c r="AL37" s="34">
        <f>IF(AND(AL$5&gt;$E37,AL$5&lt;=$F37),IF(AL$5=$E37+1,$C37,""),"")</f>
        <v/>
      </c>
      <c r="AM37" s="34">
        <f>IF(AND(AM$5&gt;$E37,AM$5&lt;=$F37),IF(AM$5=$E37+1,$C37,""),"")</f>
        <v/>
      </c>
      <c r="AN37" s="34">
        <f>IF(AND(AN$5&gt;$E37,AN$5&lt;=$F37),IF(AN$5=$E37+1,$C37,""),"")</f>
        <v/>
      </c>
      <c r="AO37" s="34">
        <f>IF(AND(AO$5&gt;$E37,AO$5&lt;=$F37),IF(AO$5=$E37+1,$C37,""),"")</f>
        <v/>
      </c>
      <c r="AP37" s="34">
        <f>IF(AND(AP$5&gt;$E37,AP$5&lt;=$F37),IF(AP$5=$E37+1,$C37,""),"")</f>
        <v/>
      </c>
      <c r="AQ37" s="34">
        <f>IF(AND(AQ$5&gt;$E37,AQ$5&lt;=$F37),IF(AQ$5=$E37+1,$C37,""),"")</f>
        <v/>
      </c>
      <c r="AR37" s="34">
        <f>IF(AND(AR$5&gt;$E37,AR$5&lt;=$F37),IF(AR$5=$E37+1,$C37,""),"")</f>
        <v/>
      </c>
      <c r="AS37" s="34">
        <f>IF(AND(AS$5&gt;$E37,AS$5&lt;=$F37),IF(AS$5=$E37+1,$C37,""),"")</f>
        <v/>
      </c>
      <c r="AT37" s="34">
        <f>IF(AND(AT$5&gt;$E37,AT$5&lt;=$F37),IF(AT$5=$E37+1,$C37,""),"")</f>
        <v/>
      </c>
      <c r="AU37" s="34">
        <f>IF(AND(AU$5&gt;$E37,AU$5&lt;=$F37),IF(AU$5=$E37+1,$C37,""),"")</f>
        <v/>
      </c>
      <c r="AV37" s="34">
        <f>IF(AND(AV$5&gt;$E37,AV$5&lt;=$F37),IF(AV$5=$E37+1,$C37,""),"")</f>
        <v/>
      </c>
      <c r="AW37" s="34">
        <f>IF(AND(AW$5&gt;$E37,AW$5&lt;=$F37),IF(AW$5=$E37+1,$C37,""),"")</f>
        <v/>
      </c>
      <c r="AX37" s="34">
        <f>IF(AND(AX$5&gt;$E37,AX$5&lt;=$F37),IF(AX$5=$E37+1,$C37,""),"")</f>
        <v/>
      </c>
      <c r="AY37" s="34">
        <f>IF(AND(AY$5&gt;$E37,AY$5&lt;=$F37),IF(AY$5=$E37+1,$C37,""),"")</f>
        <v/>
      </c>
      <c r="AZ37" s="34">
        <f>IF(AND(AZ$5&gt;$E37,AZ$5&lt;=$F37),IF(AZ$5=$E37+1,$C37,""),"")</f>
        <v/>
      </c>
      <c r="BA37" s="34">
        <f>IF(AND(BA$5&gt;$E37,BA$5&lt;=$F37),IF(BA$5=$E37+1,$C37,""),"")</f>
        <v/>
      </c>
      <c r="BB37" s="34">
        <f>IF(AND(BB$5&gt;$E37,BB$5&lt;=$F37),IF(BB$5=$E37+1,$C37,""),"")</f>
        <v/>
      </c>
      <c r="BC37" s="34">
        <f>IF(AND(BC$5&gt;$E37,BC$5&lt;=$F37),IF(BC$5=$E37+1,$C37,""),"")</f>
        <v/>
      </c>
      <c r="BD37" s="34">
        <f>IF(AND(BD$5&gt;$E37,BD$5&lt;=$F37),IF(BD$5=$E37+1,$C37,""),"")</f>
        <v/>
      </c>
      <c r="BE37" s="34">
        <f>IF(AND(BE$5&gt;$E37,BE$5&lt;=$F37),IF(BE$5=$E37+1,$C37,""),"")</f>
        <v/>
      </c>
      <c r="BF37" s="34">
        <f>IF(AND(BF$5&gt;$E37,BF$5&lt;=$F37),IF(BF$5=$E37+1,$C37,""),"")</f>
        <v/>
      </c>
      <c r="BG37" s="34">
        <f>IF(AND(BG$5&gt;$E37,BG$5&lt;=$F37),IF(BG$5=$E37+1,$C37,""),"")</f>
        <v/>
      </c>
      <c r="BH37" s="34">
        <f>IF(AND(BH$5&gt;$E37,BH$5&lt;=$F37),IF(BH$5=$E37+1,$C37,""),"")</f>
        <v/>
      </c>
      <c r="BI37" s="34">
        <f>IF(AND(BI$5&gt;$E37,BI$5&lt;=$F37),IF(BI$5=$E37+1,$C37,""),"")</f>
        <v/>
      </c>
      <c r="BJ37" s="34">
        <f>IF(AND(BJ$5&gt;$E37,BJ$5&lt;=$F37),IF(BJ$5=$E37+1,$C37,""),"")</f>
        <v/>
      </c>
      <c r="BK37" s="34">
        <f>IF(AND(BK$5&gt;$E37,BK$5&lt;=$F37),IF(BK$5=$E37+1,$C37,""),"")</f>
        <v/>
      </c>
      <c r="BL37" s="34">
        <f>IF(AND(BL$5&gt;$E37,BL$5&lt;=$F37),IF(BL$5=$E37+1,$C37,""),"")</f>
        <v/>
      </c>
      <c r="BM37" s="34">
        <f>IF(AND(BM$5&gt;$E37,BM$5&lt;=$F37),IF(BM$5=$E37+1,$C37,""),"")</f>
        <v/>
      </c>
      <c r="BN37" s="34">
        <f>IF(AND(BN$5&gt;$E37,BN$5&lt;=$F37),IF(BN$5=$E37+1,$C37,""),"")</f>
        <v/>
      </c>
      <c r="BO37" s="34">
        <f>IF(AND(BO$5&gt;$E37,BO$5&lt;=$F37),IF(BO$5=$E37+1,$C37,""),"")</f>
        <v/>
      </c>
      <c r="BP37" s="34">
        <f>IF(AND(BP$5&gt;$E37,BP$5&lt;=$F37),IF(BP$5=$E37+1,$C37,""),"")</f>
        <v/>
      </c>
      <c r="BQ37" s="34">
        <f>IF(AND(BQ$5&gt;$E37,BQ$5&lt;=$F37),IF(BQ$5=$E37+1,$C37,""),"")</f>
        <v/>
      </c>
      <c r="BR37" s="34">
        <f>IF(AND(BR$5&gt;$E37,BR$5&lt;=$F37),IF(BR$5=$E37+1,$C37,""),"")</f>
        <v/>
      </c>
      <c r="BS37" s="34">
        <f>IF(AND(BS$5&gt;$E37,BS$5&lt;=$F37),IF(BS$5=$E37+1,$C37,""),"")</f>
        <v/>
      </c>
      <c r="BT37" s="34">
        <f>IF(AND(BT$5&gt;$E37,BT$5&lt;=$F37),IF(BT$5=$E37+1,$C37,""),"")</f>
        <v/>
      </c>
      <c r="BU37" s="34">
        <f>IF(AND(BU$5&gt;$E37,BU$5&lt;=$F37),IF(BU$5=$E37+1,$C37,""),"")</f>
        <v/>
      </c>
      <c r="BV37" s="34">
        <f>IF(AND(BV$5&gt;$E37,BV$5&lt;=$F37),IF(BV$5=$E37+1,$C37,""),"")</f>
        <v/>
      </c>
      <c r="BW37" s="34">
        <f>IF(AND(BW$5&gt;$E37,BW$5&lt;=$F37),IF(BW$5=$E37+1,$C37,""),"")</f>
        <v/>
      </c>
      <c r="BX37" s="34">
        <f>IF(AND(BX$5&gt;$E37,BX$5&lt;=$F37),IF(BX$5=$E37+1,$C37,""),"")</f>
        <v/>
      </c>
      <c r="BY37" s="34">
        <f>IF(AND(BY$5&gt;$E37,BY$5&lt;=$F37),IF(BY$5=$E37+1,$C37,""),"")</f>
        <v/>
      </c>
      <c r="BZ37" s="34">
        <f>IF(AND(BZ$5&gt;$E37,BZ$5&lt;=$F37),IF(BZ$5=$E37+1,$C37,""),"")</f>
        <v/>
      </c>
      <c r="CA37" s="34">
        <f>IF(AND(CA$5&gt;$E37,CA$5&lt;=$F37),IF(CA$5=$E37+1,$C37,""),"")</f>
        <v/>
      </c>
      <c r="CB37" s="34">
        <f>IF(AND(CB$5&gt;$E37,CB$5&lt;=$F37),IF(CB$5=$E37+1,$C37,""),"")</f>
        <v/>
      </c>
      <c r="CC37" s="34">
        <f>IF(AND(CC$5&gt;$E37,CC$5&lt;=$F37),IF(CC$5=$E37+1,$C37,""),"")</f>
        <v/>
      </c>
      <c r="CD37" s="34">
        <f>IF(AND(CD$5&gt;$E37,CD$5&lt;=$F37),IF(CD$5=$E37+1,$C37,""),"")</f>
        <v/>
      </c>
      <c r="CE37" s="34">
        <f>IF(AND(CE$5&gt;$E37,CE$5&lt;=$F37),IF(CE$5=$E37+1,$C37,""),"")</f>
        <v/>
      </c>
      <c r="CF37" s="34">
        <f>IF(AND(CF$5&gt;$E37,CF$5&lt;=$F37),IF(CF$5=$E37+1,$C37,""),"")</f>
        <v/>
      </c>
      <c r="CG37" s="34">
        <f>IF(AND(CG$5&gt;$E37,CG$5&lt;=$F37),IF(CG$5=$E37+1,$C37,""),"")</f>
        <v/>
      </c>
      <c r="CH37" s="34">
        <f>IF(AND(CH$5&gt;$E37,CH$5&lt;=$F37),IF(CH$5=$E37+1,$C37,""),"")</f>
        <v/>
      </c>
      <c r="CI37" s="34">
        <f>IF(AND(CI$5&gt;$E37,CI$5&lt;=$F37),IF(CI$5=$E37+1,$C37,""),"")</f>
        <v/>
      </c>
      <c r="CJ37" s="34">
        <f>IF(AND(CJ$5&gt;$E37,CJ$5&lt;=$F37),IF(CJ$5=$E37+1,$C37,""),"")</f>
        <v/>
      </c>
      <c r="CK37" s="34">
        <f>IF(AND(CK$5&gt;$E37,CK$5&lt;=$F37),IF(CK$5=$E37+1,$C37,""),"")</f>
        <v/>
      </c>
      <c r="CL37" s="34">
        <f>IF(AND(CL$5&gt;$E37,CL$5&lt;=$F37),IF(CL$5=$E37+1,$C37,""),"")</f>
        <v/>
      </c>
      <c r="CM37" s="34">
        <f>IF(AND(CM$5&gt;$E37,CM$5&lt;=$F37),IF(CM$5=$E37+1,$C37,""),"")</f>
        <v/>
      </c>
      <c r="CN37" s="34">
        <f>IF(AND(CN$5&gt;$E37,CN$5&lt;=$F37),IF(CN$5=$E37+1,$C37,""),"")</f>
        <v/>
      </c>
      <c r="CO37" s="34">
        <f>IF(AND(CO$5&gt;$E37,CO$5&lt;=$F37),IF(CO$5=$E37+1,$C37,""),"")</f>
        <v/>
      </c>
      <c r="CP37" s="34">
        <f>IF(AND(CP$5&gt;$E37,CP$5&lt;=$F37),IF(CP$5=$E37+1,$C37,""),"")</f>
        <v/>
      </c>
      <c r="CQ37" s="34">
        <f>IF(AND(CQ$5&gt;$E37,CQ$5&lt;=$F37),IF(CQ$5=$E37+1,$C37,""),"")</f>
        <v/>
      </c>
      <c r="CR37" s="34">
        <f>IF(AND(CR$5&gt;$E37,CR$5&lt;=$F37),IF(CR$5=$E37+1,$C37,""),"")</f>
        <v/>
      </c>
      <c r="CS37" s="34">
        <f>IF(AND(CS$5&gt;$E37,CS$5&lt;=$F37),IF(CS$5=$E37+1,$C37,""),"")</f>
        <v/>
      </c>
    </row>
    <row r="38">
      <c r="A38" s="32">
        <f>Plan!A31</f>
        <v/>
      </c>
      <c r="B38" s="33">
        <f>Plan!C31</f>
        <v/>
      </c>
      <c r="C38" s="16">
        <f>Plan!D31</f>
        <v/>
      </c>
      <c r="D38" s="16">
        <f>Plan!I31</f>
        <v/>
      </c>
      <c r="E38" s="16">
        <f>Plan!K31</f>
        <v/>
      </c>
      <c r="F38" s="16">
        <f>Plan!L31</f>
        <v/>
      </c>
      <c r="G38" s="16">
        <f>Plan!O31</f>
        <v/>
      </c>
      <c r="H38" s="34">
        <f>IF(AND(H$5&gt;$E38,H$5&lt;=$F38),IF(H$5=$E38+1,$C38,""),"")</f>
        <v/>
      </c>
      <c r="I38" s="34">
        <f>IF(AND(I$5&gt;$E38,I$5&lt;=$F38),IF(I$5=$E38+1,$C38,""),"")</f>
        <v/>
      </c>
      <c r="J38" s="34">
        <f>IF(AND(J$5&gt;$E38,J$5&lt;=$F38),IF(J$5=$E38+1,$C38,""),"")</f>
        <v/>
      </c>
      <c r="K38" s="34">
        <f>IF(AND(K$5&gt;$E38,K$5&lt;=$F38),IF(K$5=$E38+1,$C38,""),"")</f>
        <v/>
      </c>
      <c r="L38" s="34">
        <f>IF(AND(L$5&gt;$E38,L$5&lt;=$F38),IF(L$5=$E38+1,$C38,""),"")</f>
        <v/>
      </c>
      <c r="M38" s="34">
        <f>IF(AND(M$5&gt;$E38,M$5&lt;=$F38),IF(M$5=$E38+1,$C38,""),"")</f>
        <v/>
      </c>
      <c r="N38" s="34">
        <f>IF(AND(N$5&gt;$E38,N$5&lt;=$F38),IF(N$5=$E38+1,$C38,""),"")</f>
        <v/>
      </c>
      <c r="O38" s="34">
        <f>IF(AND(O$5&gt;$E38,O$5&lt;=$F38),IF(O$5=$E38+1,$C38,""),"")</f>
        <v/>
      </c>
      <c r="P38" s="34">
        <f>IF(AND(P$5&gt;$E38,P$5&lt;=$F38),IF(P$5=$E38+1,$C38,""),"")</f>
        <v/>
      </c>
      <c r="Q38" s="34">
        <f>IF(AND(Q$5&gt;$E38,Q$5&lt;=$F38),IF(Q$5=$E38+1,$C38,""),"")</f>
        <v/>
      </c>
      <c r="R38" s="34">
        <f>IF(AND(R$5&gt;$E38,R$5&lt;=$F38),IF(R$5=$E38+1,$C38,""),"")</f>
        <v/>
      </c>
      <c r="S38" s="34">
        <f>IF(AND(S$5&gt;$E38,S$5&lt;=$F38),IF(S$5=$E38+1,$C38,""),"")</f>
        <v/>
      </c>
      <c r="T38" s="34">
        <f>IF(AND(T$5&gt;$E38,T$5&lt;=$F38),IF(T$5=$E38+1,$C38,""),"")</f>
        <v/>
      </c>
      <c r="U38" s="34">
        <f>IF(AND(U$5&gt;$E38,U$5&lt;=$F38),IF(U$5=$E38+1,$C38,""),"")</f>
        <v/>
      </c>
      <c r="V38" s="34">
        <f>IF(AND(V$5&gt;$E38,V$5&lt;=$F38),IF(V$5=$E38+1,$C38,""),"")</f>
        <v/>
      </c>
      <c r="W38" s="34">
        <f>IF(AND(W$5&gt;$E38,W$5&lt;=$F38),IF(W$5=$E38+1,$C38,""),"")</f>
        <v/>
      </c>
      <c r="X38" s="34">
        <f>IF(AND(X$5&gt;$E38,X$5&lt;=$F38),IF(X$5=$E38+1,$C38,""),"")</f>
        <v/>
      </c>
      <c r="Y38" s="34">
        <f>IF(AND(Y$5&gt;$E38,Y$5&lt;=$F38),IF(Y$5=$E38+1,$C38,""),"")</f>
        <v/>
      </c>
      <c r="Z38" s="34">
        <f>IF(AND(Z$5&gt;$E38,Z$5&lt;=$F38),IF(Z$5=$E38+1,$C38,""),"")</f>
        <v/>
      </c>
      <c r="AA38" s="34">
        <f>IF(AND(AA$5&gt;$E38,AA$5&lt;=$F38),IF(AA$5=$E38+1,$C38,""),"")</f>
        <v/>
      </c>
      <c r="AB38" s="34">
        <f>IF(AND(AB$5&gt;$E38,AB$5&lt;=$F38),IF(AB$5=$E38+1,$C38,""),"")</f>
        <v/>
      </c>
      <c r="AC38" s="34">
        <f>IF(AND(AC$5&gt;$E38,AC$5&lt;=$F38),IF(AC$5=$E38+1,$C38,""),"")</f>
        <v/>
      </c>
      <c r="AD38" s="34">
        <f>IF(AND(AD$5&gt;$E38,AD$5&lt;=$F38),IF(AD$5=$E38+1,$C38,""),"")</f>
        <v/>
      </c>
      <c r="AE38" s="34">
        <f>IF(AND(AE$5&gt;$E38,AE$5&lt;=$F38),IF(AE$5=$E38+1,$C38,""),"")</f>
        <v/>
      </c>
      <c r="AF38" s="34">
        <f>IF(AND(AF$5&gt;$E38,AF$5&lt;=$F38),IF(AF$5=$E38+1,$C38,""),"")</f>
        <v/>
      </c>
      <c r="AG38" s="34">
        <f>IF(AND(AG$5&gt;$E38,AG$5&lt;=$F38),IF(AG$5=$E38+1,$C38,""),"")</f>
        <v/>
      </c>
      <c r="AH38" s="34">
        <f>IF(AND(AH$5&gt;$E38,AH$5&lt;=$F38),IF(AH$5=$E38+1,$C38,""),"")</f>
        <v/>
      </c>
      <c r="AI38" s="34">
        <f>IF(AND(AI$5&gt;$E38,AI$5&lt;=$F38),IF(AI$5=$E38+1,$C38,""),"")</f>
        <v/>
      </c>
      <c r="AJ38" s="34">
        <f>IF(AND(AJ$5&gt;$E38,AJ$5&lt;=$F38),IF(AJ$5=$E38+1,$C38,""),"")</f>
        <v/>
      </c>
      <c r="AK38" s="34">
        <f>IF(AND(AK$5&gt;$E38,AK$5&lt;=$F38),IF(AK$5=$E38+1,$C38,""),"")</f>
        <v/>
      </c>
      <c r="AL38" s="34">
        <f>IF(AND(AL$5&gt;$E38,AL$5&lt;=$F38),IF(AL$5=$E38+1,$C38,""),"")</f>
        <v/>
      </c>
      <c r="AM38" s="34">
        <f>IF(AND(AM$5&gt;$E38,AM$5&lt;=$F38),IF(AM$5=$E38+1,$C38,""),"")</f>
        <v/>
      </c>
      <c r="AN38" s="34">
        <f>IF(AND(AN$5&gt;$E38,AN$5&lt;=$F38),IF(AN$5=$E38+1,$C38,""),"")</f>
        <v/>
      </c>
      <c r="AO38" s="34">
        <f>IF(AND(AO$5&gt;$E38,AO$5&lt;=$F38),IF(AO$5=$E38+1,$C38,""),"")</f>
        <v/>
      </c>
      <c r="AP38" s="34">
        <f>IF(AND(AP$5&gt;$E38,AP$5&lt;=$F38),IF(AP$5=$E38+1,$C38,""),"")</f>
        <v/>
      </c>
      <c r="AQ38" s="34">
        <f>IF(AND(AQ$5&gt;$E38,AQ$5&lt;=$F38),IF(AQ$5=$E38+1,$C38,""),"")</f>
        <v/>
      </c>
      <c r="AR38" s="34">
        <f>IF(AND(AR$5&gt;$E38,AR$5&lt;=$F38),IF(AR$5=$E38+1,$C38,""),"")</f>
        <v/>
      </c>
      <c r="AS38" s="34">
        <f>IF(AND(AS$5&gt;$E38,AS$5&lt;=$F38),IF(AS$5=$E38+1,$C38,""),"")</f>
        <v/>
      </c>
      <c r="AT38" s="34">
        <f>IF(AND(AT$5&gt;$E38,AT$5&lt;=$F38),IF(AT$5=$E38+1,$C38,""),"")</f>
        <v/>
      </c>
      <c r="AU38" s="34">
        <f>IF(AND(AU$5&gt;$E38,AU$5&lt;=$F38),IF(AU$5=$E38+1,$C38,""),"")</f>
        <v/>
      </c>
      <c r="AV38" s="34">
        <f>IF(AND(AV$5&gt;$E38,AV$5&lt;=$F38),IF(AV$5=$E38+1,$C38,""),"")</f>
        <v/>
      </c>
      <c r="AW38" s="34">
        <f>IF(AND(AW$5&gt;$E38,AW$5&lt;=$F38),IF(AW$5=$E38+1,$C38,""),"")</f>
        <v/>
      </c>
      <c r="AX38" s="34">
        <f>IF(AND(AX$5&gt;$E38,AX$5&lt;=$F38),IF(AX$5=$E38+1,$C38,""),"")</f>
        <v/>
      </c>
      <c r="AY38" s="34">
        <f>IF(AND(AY$5&gt;$E38,AY$5&lt;=$F38),IF(AY$5=$E38+1,$C38,""),"")</f>
        <v/>
      </c>
      <c r="AZ38" s="34">
        <f>IF(AND(AZ$5&gt;$E38,AZ$5&lt;=$F38),IF(AZ$5=$E38+1,$C38,""),"")</f>
        <v/>
      </c>
      <c r="BA38" s="34">
        <f>IF(AND(BA$5&gt;$E38,BA$5&lt;=$F38),IF(BA$5=$E38+1,$C38,""),"")</f>
        <v/>
      </c>
      <c r="BB38" s="34">
        <f>IF(AND(BB$5&gt;$E38,BB$5&lt;=$F38),IF(BB$5=$E38+1,$C38,""),"")</f>
        <v/>
      </c>
      <c r="BC38" s="34">
        <f>IF(AND(BC$5&gt;$E38,BC$5&lt;=$F38),IF(BC$5=$E38+1,$C38,""),"")</f>
        <v/>
      </c>
      <c r="BD38" s="34">
        <f>IF(AND(BD$5&gt;$E38,BD$5&lt;=$F38),IF(BD$5=$E38+1,$C38,""),"")</f>
        <v/>
      </c>
      <c r="BE38" s="34">
        <f>IF(AND(BE$5&gt;$E38,BE$5&lt;=$F38),IF(BE$5=$E38+1,$C38,""),"")</f>
        <v/>
      </c>
      <c r="BF38" s="34">
        <f>IF(AND(BF$5&gt;$E38,BF$5&lt;=$F38),IF(BF$5=$E38+1,$C38,""),"")</f>
        <v/>
      </c>
      <c r="BG38" s="34">
        <f>IF(AND(BG$5&gt;$E38,BG$5&lt;=$F38),IF(BG$5=$E38+1,$C38,""),"")</f>
        <v/>
      </c>
      <c r="BH38" s="34">
        <f>IF(AND(BH$5&gt;$E38,BH$5&lt;=$F38),IF(BH$5=$E38+1,$C38,""),"")</f>
        <v/>
      </c>
      <c r="BI38" s="34">
        <f>IF(AND(BI$5&gt;$E38,BI$5&lt;=$F38),IF(BI$5=$E38+1,$C38,""),"")</f>
        <v/>
      </c>
      <c r="BJ38" s="34">
        <f>IF(AND(BJ$5&gt;$E38,BJ$5&lt;=$F38),IF(BJ$5=$E38+1,$C38,""),"")</f>
        <v/>
      </c>
      <c r="BK38" s="34">
        <f>IF(AND(BK$5&gt;$E38,BK$5&lt;=$F38),IF(BK$5=$E38+1,$C38,""),"")</f>
        <v/>
      </c>
      <c r="BL38" s="34">
        <f>IF(AND(BL$5&gt;$E38,BL$5&lt;=$F38),IF(BL$5=$E38+1,$C38,""),"")</f>
        <v/>
      </c>
      <c r="BM38" s="34">
        <f>IF(AND(BM$5&gt;$E38,BM$5&lt;=$F38),IF(BM$5=$E38+1,$C38,""),"")</f>
        <v/>
      </c>
      <c r="BN38" s="34">
        <f>IF(AND(BN$5&gt;$E38,BN$5&lt;=$F38),IF(BN$5=$E38+1,$C38,""),"")</f>
        <v/>
      </c>
      <c r="BO38" s="34">
        <f>IF(AND(BO$5&gt;$E38,BO$5&lt;=$F38),IF(BO$5=$E38+1,$C38,""),"")</f>
        <v/>
      </c>
      <c r="BP38" s="34">
        <f>IF(AND(BP$5&gt;$E38,BP$5&lt;=$F38),IF(BP$5=$E38+1,$C38,""),"")</f>
        <v/>
      </c>
      <c r="BQ38" s="34">
        <f>IF(AND(BQ$5&gt;$E38,BQ$5&lt;=$F38),IF(BQ$5=$E38+1,$C38,""),"")</f>
        <v/>
      </c>
      <c r="BR38" s="34">
        <f>IF(AND(BR$5&gt;$E38,BR$5&lt;=$F38),IF(BR$5=$E38+1,$C38,""),"")</f>
        <v/>
      </c>
      <c r="BS38" s="34">
        <f>IF(AND(BS$5&gt;$E38,BS$5&lt;=$F38),IF(BS$5=$E38+1,$C38,""),"")</f>
        <v/>
      </c>
      <c r="BT38" s="34">
        <f>IF(AND(BT$5&gt;$E38,BT$5&lt;=$F38),IF(BT$5=$E38+1,$C38,""),"")</f>
        <v/>
      </c>
      <c r="BU38" s="34">
        <f>IF(AND(BU$5&gt;$E38,BU$5&lt;=$F38),IF(BU$5=$E38+1,$C38,""),"")</f>
        <v/>
      </c>
      <c r="BV38" s="34">
        <f>IF(AND(BV$5&gt;$E38,BV$5&lt;=$F38),IF(BV$5=$E38+1,$C38,""),"")</f>
        <v/>
      </c>
      <c r="BW38" s="34">
        <f>IF(AND(BW$5&gt;$E38,BW$5&lt;=$F38),IF(BW$5=$E38+1,$C38,""),"")</f>
        <v/>
      </c>
      <c r="BX38" s="34">
        <f>IF(AND(BX$5&gt;$E38,BX$5&lt;=$F38),IF(BX$5=$E38+1,$C38,""),"")</f>
        <v/>
      </c>
      <c r="BY38" s="34">
        <f>IF(AND(BY$5&gt;$E38,BY$5&lt;=$F38),IF(BY$5=$E38+1,$C38,""),"")</f>
        <v/>
      </c>
      <c r="BZ38" s="34">
        <f>IF(AND(BZ$5&gt;$E38,BZ$5&lt;=$F38),IF(BZ$5=$E38+1,$C38,""),"")</f>
        <v/>
      </c>
      <c r="CA38" s="34">
        <f>IF(AND(CA$5&gt;$E38,CA$5&lt;=$F38),IF(CA$5=$E38+1,$C38,""),"")</f>
        <v/>
      </c>
      <c r="CB38" s="34">
        <f>IF(AND(CB$5&gt;$E38,CB$5&lt;=$F38),IF(CB$5=$E38+1,$C38,""),"")</f>
        <v/>
      </c>
      <c r="CC38" s="34">
        <f>IF(AND(CC$5&gt;$E38,CC$5&lt;=$F38),IF(CC$5=$E38+1,$C38,""),"")</f>
        <v/>
      </c>
      <c r="CD38" s="34">
        <f>IF(AND(CD$5&gt;$E38,CD$5&lt;=$F38),IF(CD$5=$E38+1,$C38,""),"")</f>
        <v/>
      </c>
      <c r="CE38" s="34">
        <f>IF(AND(CE$5&gt;$E38,CE$5&lt;=$F38),IF(CE$5=$E38+1,$C38,""),"")</f>
        <v/>
      </c>
      <c r="CF38" s="34">
        <f>IF(AND(CF$5&gt;$E38,CF$5&lt;=$F38),IF(CF$5=$E38+1,$C38,""),"")</f>
        <v/>
      </c>
      <c r="CG38" s="34">
        <f>IF(AND(CG$5&gt;$E38,CG$5&lt;=$F38),IF(CG$5=$E38+1,$C38,""),"")</f>
        <v/>
      </c>
      <c r="CH38" s="34">
        <f>IF(AND(CH$5&gt;$E38,CH$5&lt;=$F38),IF(CH$5=$E38+1,$C38,""),"")</f>
        <v/>
      </c>
      <c r="CI38" s="34">
        <f>IF(AND(CI$5&gt;$E38,CI$5&lt;=$F38),IF(CI$5=$E38+1,$C38,""),"")</f>
        <v/>
      </c>
      <c r="CJ38" s="34">
        <f>IF(AND(CJ$5&gt;$E38,CJ$5&lt;=$F38),IF(CJ$5=$E38+1,$C38,""),"")</f>
        <v/>
      </c>
      <c r="CK38" s="34">
        <f>IF(AND(CK$5&gt;$E38,CK$5&lt;=$F38),IF(CK$5=$E38+1,$C38,""),"")</f>
        <v/>
      </c>
      <c r="CL38" s="34">
        <f>IF(AND(CL$5&gt;$E38,CL$5&lt;=$F38),IF(CL$5=$E38+1,$C38,""),"")</f>
        <v/>
      </c>
      <c r="CM38" s="34">
        <f>IF(AND(CM$5&gt;$E38,CM$5&lt;=$F38),IF(CM$5=$E38+1,$C38,""),"")</f>
        <v/>
      </c>
      <c r="CN38" s="34">
        <f>IF(AND(CN$5&gt;$E38,CN$5&lt;=$F38),IF(CN$5=$E38+1,$C38,""),"")</f>
        <v/>
      </c>
      <c r="CO38" s="34">
        <f>IF(AND(CO$5&gt;$E38,CO$5&lt;=$F38),IF(CO$5=$E38+1,$C38,""),"")</f>
        <v/>
      </c>
      <c r="CP38" s="34">
        <f>IF(AND(CP$5&gt;$E38,CP$5&lt;=$F38),IF(CP$5=$E38+1,$C38,""),"")</f>
        <v/>
      </c>
      <c r="CQ38" s="34">
        <f>IF(AND(CQ$5&gt;$E38,CQ$5&lt;=$F38),IF(CQ$5=$E38+1,$C38,""),"")</f>
        <v/>
      </c>
      <c r="CR38" s="34">
        <f>IF(AND(CR$5&gt;$E38,CR$5&lt;=$F38),IF(CR$5=$E38+1,$C38,""),"")</f>
        <v/>
      </c>
      <c r="CS38" s="34">
        <f>IF(AND(CS$5&gt;$E38,CS$5&lt;=$F38),IF(CS$5=$E38+1,$C38,""),"")</f>
        <v/>
      </c>
    </row>
    <row r="39">
      <c r="A39" s="32">
        <f>Plan!A32</f>
        <v/>
      </c>
      <c r="B39" s="33">
        <f>Plan!C32</f>
        <v/>
      </c>
      <c r="C39" s="16">
        <f>Plan!D32</f>
        <v/>
      </c>
      <c r="D39" s="16">
        <f>Plan!I32</f>
        <v/>
      </c>
      <c r="E39" s="16">
        <f>Plan!K32</f>
        <v/>
      </c>
      <c r="F39" s="16">
        <f>Plan!L32</f>
        <v/>
      </c>
      <c r="G39" s="16">
        <f>Plan!O32</f>
        <v/>
      </c>
      <c r="H39" s="34">
        <f>IF(AND(H$5&gt;$E39,H$5&lt;=$F39),IF(H$5=$E39+1,$C39,""),"")</f>
        <v/>
      </c>
      <c r="I39" s="34">
        <f>IF(AND(I$5&gt;$E39,I$5&lt;=$F39),IF(I$5=$E39+1,$C39,""),"")</f>
        <v/>
      </c>
      <c r="J39" s="34">
        <f>IF(AND(J$5&gt;$E39,J$5&lt;=$F39),IF(J$5=$E39+1,$C39,""),"")</f>
        <v/>
      </c>
      <c r="K39" s="34">
        <f>IF(AND(K$5&gt;$E39,K$5&lt;=$F39),IF(K$5=$E39+1,$C39,""),"")</f>
        <v/>
      </c>
      <c r="L39" s="34">
        <f>IF(AND(L$5&gt;$E39,L$5&lt;=$F39),IF(L$5=$E39+1,$C39,""),"")</f>
        <v/>
      </c>
      <c r="M39" s="34">
        <f>IF(AND(M$5&gt;$E39,M$5&lt;=$F39),IF(M$5=$E39+1,$C39,""),"")</f>
        <v/>
      </c>
      <c r="N39" s="34">
        <f>IF(AND(N$5&gt;$E39,N$5&lt;=$F39),IF(N$5=$E39+1,$C39,""),"")</f>
        <v/>
      </c>
      <c r="O39" s="34">
        <f>IF(AND(O$5&gt;$E39,O$5&lt;=$F39),IF(O$5=$E39+1,$C39,""),"")</f>
        <v/>
      </c>
      <c r="P39" s="34">
        <f>IF(AND(P$5&gt;$E39,P$5&lt;=$F39),IF(P$5=$E39+1,$C39,""),"")</f>
        <v/>
      </c>
      <c r="Q39" s="34">
        <f>IF(AND(Q$5&gt;$E39,Q$5&lt;=$F39),IF(Q$5=$E39+1,$C39,""),"")</f>
        <v/>
      </c>
      <c r="R39" s="34">
        <f>IF(AND(R$5&gt;$E39,R$5&lt;=$F39),IF(R$5=$E39+1,$C39,""),"")</f>
        <v/>
      </c>
      <c r="S39" s="34">
        <f>IF(AND(S$5&gt;$E39,S$5&lt;=$F39),IF(S$5=$E39+1,$C39,""),"")</f>
        <v/>
      </c>
      <c r="T39" s="34">
        <f>IF(AND(T$5&gt;$E39,T$5&lt;=$F39),IF(T$5=$E39+1,$C39,""),"")</f>
        <v/>
      </c>
      <c r="U39" s="34">
        <f>IF(AND(U$5&gt;$E39,U$5&lt;=$F39),IF(U$5=$E39+1,$C39,""),"")</f>
        <v/>
      </c>
      <c r="V39" s="34">
        <f>IF(AND(V$5&gt;$E39,V$5&lt;=$F39),IF(V$5=$E39+1,$C39,""),"")</f>
        <v/>
      </c>
      <c r="W39" s="34">
        <f>IF(AND(W$5&gt;$E39,W$5&lt;=$F39),IF(W$5=$E39+1,$C39,""),"")</f>
        <v/>
      </c>
      <c r="X39" s="34">
        <f>IF(AND(X$5&gt;$E39,X$5&lt;=$F39),IF(X$5=$E39+1,$C39,""),"")</f>
        <v/>
      </c>
      <c r="Y39" s="34">
        <f>IF(AND(Y$5&gt;$E39,Y$5&lt;=$F39),IF(Y$5=$E39+1,$C39,""),"")</f>
        <v/>
      </c>
      <c r="Z39" s="34">
        <f>IF(AND(Z$5&gt;$E39,Z$5&lt;=$F39),IF(Z$5=$E39+1,$C39,""),"")</f>
        <v/>
      </c>
      <c r="AA39" s="34">
        <f>IF(AND(AA$5&gt;$E39,AA$5&lt;=$F39),IF(AA$5=$E39+1,$C39,""),"")</f>
        <v/>
      </c>
      <c r="AB39" s="34">
        <f>IF(AND(AB$5&gt;$E39,AB$5&lt;=$F39),IF(AB$5=$E39+1,$C39,""),"")</f>
        <v/>
      </c>
      <c r="AC39" s="34">
        <f>IF(AND(AC$5&gt;$E39,AC$5&lt;=$F39),IF(AC$5=$E39+1,$C39,""),"")</f>
        <v/>
      </c>
      <c r="AD39" s="34">
        <f>IF(AND(AD$5&gt;$E39,AD$5&lt;=$F39),IF(AD$5=$E39+1,$C39,""),"")</f>
        <v/>
      </c>
      <c r="AE39" s="34">
        <f>IF(AND(AE$5&gt;$E39,AE$5&lt;=$F39),IF(AE$5=$E39+1,$C39,""),"")</f>
        <v/>
      </c>
      <c r="AF39" s="34">
        <f>IF(AND(AF$5&gt;$E39,AF$5&lt;=$F39),IF(AF$5=$E39+1,$C39,""),"")</f>
        <v/>
      </c>
      <c r="AG39" s="34">
        <f>IF(AND(AG$5&gt;$E39,AG$5&lt;=$F39),IF(AG$5=$E39+1,$C39,""),"")</f>
        <v/>
      </c>
      <c r="AH39" s="34">
        <f>IF(AND(AH$5&gt;$E39,AH$5&lt;=$F39),IF(AH$5=$E39+1,$C39,""),"")</f>
        <v/>
      </c>
      <c r="AI39" s="34">
        <f>IF(AND(AI$5&gt;$E39,AI$5&lt;=$F39),IF(AI$5=$E39+1,$C39,""),"")</f>
        <v/>
      </c>
      <c r="AJ39" s="34">
        <f>IF(AND(AJ$5&gt;$E39,AJ$5&lt;=$F39),IF(AJ$5=$E39+1,$C39,""),"")</f>
        <v/>
      </c>
      <c r="AK39" s="34">
        <f>IF(AND(AK$5&gt;$E39,AK$5&lt;=$F39),IF(AK$5=$E39+1,$C39,""),"")</f>
        <v/>
      </c>
      <c r="AL39" s="34">
        <f>IF(AND(AL$5&gt;$E39,AL$5&lt;=$F39),IF(AL$5=$E39+1,$C39,""),"")</f>
        <v/>
      </c>
      <c r="AM39" s="34">
        <f>IF(AND(AM$5&gt;$E39,AM$5&lt;=$F39),IF(AM$5=$E39+1,$C39,""),"")</f>
        <v/>
      </c>
      <c r="AN39" s="34">
        <f>IF(AND(AN$5&gt;$E39,AN$5&lt;=$F39),IF(AN$5=$E39+1,$C39,""),"")</f>
        <v/>
      </c>
      <c r="AO39" s="34">
        <f>IF(AND(AO$5&gt;$E39,AO$5&lt;=$F39),IF(AO$5=$E39+1,$C39,""),"")</f>
        <v/>
      </c>
      <c r="AP39" s="34">
        <f>IF(AND(AP$5&gt;$E39,AP$5&lt;=$F39),IF(AP$5=$E39+1,$C39,""),"")</f>
        <v/>
      </c>
      <c r="AQ39" s="34">
        <f>IF(AND(AQ$5&gt;$E39,AQ$5&lt;=$F39),IF(AQ$5=$E39+1,$C39,""),"")</f>
        <v/>
      </c>
      <c r="AR39" s="34">
        <f>IF(AND(AR$5&gt;$E39,AR$5&lt;=$F39),IF(AR$5=$E39+1,$C39,""),"")</f>
        <v/>
      </c>
      <c r="AS39" s="34">
        <f>IF(AND(AS$5&gt;$E39,AS$5&lt;=$F39),IF(AS$5=$E39+1,$C39,""),"")</f>
        <v/>
      </c>
      <c r="AT39" s="34">
        <f>IF(AND(AT$5&gt;$E39,AT$5&lt;=$F39),IF(AT$5=$E39+1,$C39,""),"")</f>
        <v/>
      </c>
      <c r="AU39" s="34">
        <f>IF(AND(AU$5&gt;$E39,AU$5&lt;=$F39),IF(AU$5=$E39+1,$C39,""),"")</f>
        <v/>
      </c>
      <c r="AV39" s="34">
        <f>IF(AND(AV$5&gt;$E39,AV$5&lt;=$F39),IF(AV$5=$E39+1,$C39,""),"")</f>
        <v/>
      </c>
      <c r="AW39" s="34">
        <f>IF(AND(AW$5&gt;$E39,AW$5&lt;=$F39),IF(AW$5=$E39+1,$C39,""),"")</f>
        <v/>
      </c>
      <c r="AX39" s="34">
        <f>IF(AND(AX$5&gt;$E39,AX$5&lt;=$F39),IF(AX$5=$E39+1,$C39,""),"")</f>
        <v/>
      </c>
      <c r="AY39" s="34">
        <f>IF(AND(AY$5&gt;$E39,AY$5&lt;=$F39),IF(AY$5=$E39+1,$C39,""),"")</f>
        <v/>
      </c>
      <c r="AZ39" s="34">
        <f>IF(AND(AZ$5&gt;$E39,AZ$5&lt;=$F39),IF(AZ$5=$E39+1,$C39,""),"")</f>
        <v/>
      </c>
      <c r="BA39" s="34">
        <f>IF(AND(BA$5&gt;$E39,BA$5&lt;=$F39),IF(BA$5=$E39+1,$C39,""),"")</f>
        <v/>
      </c>
      <c r="BB39" s="34">
        <f>IF(AND(BB$5&gt;$E39,BB$5&lt;=$F39),IF(BB$5=$E39+1,$C39,""),"")</f>
        <v/>
      </c>
      <c r="BC39" s="34">
        <f>IF(AND(BC$5&gt;$E39,BC$5&lt;=$F39),IF(BC$5=$E39+1,$C39,""),"")</f>
        <v/>
      </c>
      <c r="BD39" s="34">
        <f>IF(AND(BD$5&gt;$E39,BD$5&lt;=$F39),IF(BD$5=$E39+1,$C39,""),"")</f>
        <v/>
      </c>
      <c r="BE39" s="34">
        <f>IF(AND(BE$5&gt;$E39,BE$5&lt;=$F39),IF(BE$5=$E39+1,$C39,""),"")</f>
        <v/>
      </c>
      <c r="BF39" s="34">
        <f>IF(AND(BF$5&gt;$E39,BF$5&lt;=$F39),IF(BF$5=$E39+1,$C39,""),"")</f>
        <v/>
      </c>
      <c r="BG39" s="34">
        <f>IF(AND(BG$5&gt;$E39,BG$5&lt;=$F39),IF(BG$5=$E39+1,$C39,""),"")</f>
        <v/>
      </c>
      <c r="BH39" s="34">
        <f>IF(AND(BH$5&gt;$E39,BH$5&lt;=$F39),IF(BH$5=$E39+1,$C39,""),"")</f>
        <v/>
      </c>
      <c r="BI39" s="34">
        <f>IF(AND(BI$5&gt;$E39,BI$5&lt;=$F39),IF(BI$5=$E39+1,$C39,""),"")</f>
        <v/>
      </c>
      <c r="BJ39" s="34">
        <f>IF(AND(BJ$5&gt;$E39,BJ$5&lt;=$F39),IF(BJ$5=$E39+1,$C39,""),"")</f>
        <v/>
      </c>
      <c r="BK39" s="34">
        <f>IF(AND(BK$5&gt;$E39,BK$5&lt;=$F39),IF(BK$5=$E39+1,$C39,""),"")</f>
        <v/>
      </c>
      <c r="BL39" s="34">
        <f>IF(AND(BL$5&gt;$E39,BL$5&lt;=$F39),IF(BL$5=$E39+1,$C39,""),"")</f>
        <v/>
      </c>
      <c r="BM39" s="34">
        <f>IF(AND(BM$5&gt;$E39,BM$5&lt;=$F39),IF(BM$5=$E39+1,$C39,""),"")</f>
        <v/>
      </c>
      <c r="BN39" s="34">
        <f>IF(AND(BN$5&gt;$E39,BN$5&lt;=$F39),IF(BN$5=$E39+1,$C39,""),"")</f>
        <v/>
      </c>
      <c r="BO39" s="34">
        <f>IF(AND(BO$5&gt;$E39,BO$5&lt;=$F39),IF(BO$5=$E39+1,$C39,""),"")</f>
        <v/>
      </c>
      <c r="BP39" s="34">
        <f>IF(AND(BP$5&gt;$E39,BP$5&lt;=$F39),IF(BP$5=$E39+1,$C39,""),"")</f>
        <v/>
      </c>
      <c r="BQ39" s="34">
        <f>IF(AND(BQ$5&gt;$E39,BQ$5&lt;=$F39),IF(BQ$5=$E39+1,$C39,""),"")</f>
        <v/>
      </c>
      <c r="BR39" s="34">
        <f>IF(AND(BR$5&gt;$E39,BR$5&lt;=$F39),IF(BR$5=$E39+1,$C39,""),"")</f>
        <v/>
      </c>
      <c r="BS39" s="34">
        <f>IF(AND(BS$5&gt;$E39,BS$5&lt;=$F39),IF(BS$5=$E39+1,$C39,""),"")</f>
        <v/>
      </c>
      <c r="BT39" s="34">
        <f>IF(AND(BT$5&gt;$E39,BT$5&lt;=$F39),IF(BT$5=$E39+1,$C39,""),"")</f>
        <v/>
      </c>
      <c r="BU39" s="34">
        <f>IF(AND(BU$5&gt;$E39,BU$5&lt;=$F39),IF(BU$5=$E39+1,$C39,""),"")</f>
        <v/>
      </c>
      <c r="BV39" s="34">
        <f>IF(AND(BV$5&gt;$E39,BV$5&lt;=$F39),IF(BV$5=$E39+1,$C39,""),"")</f>
        <v/>
      </c>
      <c r="BW39" s="34">
        <f>IF(AND(BW$5&gt;$E39,BW$5&lt;=$F39),IF(BW$5=$E39+1,$C39,""),"")</f>
        <v/>
      </c>
      <c r="BX39" s="34">
        <f>IF(AND(BX$5&gt;$E39,BX$5&lt;=$F39),IF(BX$5=$E39+1,$C39,""),"")</f>
        <v/>
      </c>
      <c r="BY39" s="34">
        <f>IF(AND(BY$5&gt;$E39,BY$5&lt;=$F39),IF(BY$5=$E39+1,$C39,""),"")</f>
        <v/>
      </c>
      <c r="BZ39" s="34">
        <f>IF(AND(BZ$5&gt;$E39,BZ$5&lt;=$F39),IF(BZ$5=$E39+1,$C39,""),"")</f>
        <v/>
      </c>
      <c r="CA39" s="34">
        <f>IF(AND(CA$5&gt;$E39,CA$5&lt;=$F39),IF(CA$5=$E39+1,$C39,""),"")</f>
        <v/>
      </c>
      <c r="CB39" s="34">
        <f>IF(AND(CB$5&gt;$E39,CB$5&lt;=$F39),IF(CB$5=$E39+1,$C39,""),"")</f>
        <v/>
      </c>
      <c r="CC39" s="34">
        <f>IF(AND(CC$5&gt;$E39,CC$5&lt;=$F39),IF(CC$5=$E39+1,$C39,""),"")</f>
        <v/>
      </c>
      <c r="CD39" s="34">
        <f>IF(AND(CD$5&gt;$E39,CD$5&lt;=$F39),IF(CD$5=$E39+1,$C39,""),"")</f>
        <v/>
      </c>
      <c r="CE39" s="34">
        <f>IF(AND(CE$5&gt;$E39,CE$5&lt;=$F39),IF(CE$5=$E39+1,$C39,""),"")</f>
        <v/>
      </c>
      <c r="CF39" s="34">
        <f>IF(AND(CF$5&gt;$E39,CF$5&lt;=$F39),IF(CF$5=$E39+1,$C39,""),"")</f>
        <v/>
      </c>
      <c r="CG39" s="34">
        <f>IF(AND(CG$5&gt;$E39,CG$5&lt;=$F39),IF(CG$5=$E39+1,$C39,""),"")</f>
        <v/>
      </c>
      <c r="CH39" s="34">
        <f>IF(AND(CH$5&gt;$E39,CH$5&lt;=$F39),IF(CH$5=$E39+1,$C39,""),"")</f>
        <v/>
      </c>
      <c r="CI39" s="34">
        <f>IF(AND(CI$5&gt;$E39,CI$5&lt;=$F39),IF(CI$5=$E39+1,$C39,""),"")</f>
        <v/>
      </c>
      <c r="CJ39" s="34">
        <f>IF(AND(CJ$5&gt;$E39,CJ$5&lt;=$F39),IF(CJ$5=$E39+1,$C39,""),"")</f>
        <v/>
      </c>
      <c r="CK39" s="34">
        <f>IF(AND(CK$5&gt;$E39,CK$5&lt;=$F39),IF(CK$5=$E39+1,$C39,""),"")</f>
        <v/>
      </c>
      <c r="CL39" s="34">
        <f>IF(AND(CL$5&gt;$E39,CL$5&lt;=$F39),IF(CL$5=$E39+1,$C39,""),"")</f>
        <v/>
      </c>
      <c r="CM39" s="34">
        <f>IF(AND(CM$5&gt;$E39,CM$5&lt;=$F39),IF(CM$5=$E39+1,$C39,""),"")</f>
        <v/>
      </c>
      <c r="CN39" s="34">
        <f>IF(AND(CN$5&gt;$E39,CN$5&lt;=$F39),IF(CN$5=$E39+1,$C39,""),"")</f>
        <v/>
      </c>
      <c r="CO39" s="34">
        <f>IF(AND(CO$5&gt;$E39,CO$5&lt;=$F39),IF(CO$5=$E39+1,$C39,""),"")</f>
        <v/>
      </c>
      <c r="CP39" s="34">
        <f>IF(AND(CP$5&gt;$E39,CP$5&lt;=$F39),IF(CP$5=$E39+1,$C39,""),"")</f>
        <v/>
      </c>
      <c r="CQ39" s="34">
        <f>IF(AND(CQ$5&gt;$E39,CQ$5&lt;=$F39),IF(CQ$5=$E39+1,$C39,""),"")</f>
        <v/>
      </c>
      <c r="CR39" s="34">
        <f>IF(AND(CR$5&gt;$E39,CR$5&lt;=$F39),IF(CR$5=$E39+1,$C39,""),"")</f>
        <v/>
      </c>
      <c r="CS39" s="34">
        <f>IF(AND(CS$5&gt;$E39,CS$5&lt;=$F39),IF(CS$5=$E39+1,$C39,""),"")</f>
        <v/>
      </c>
    </row>
    <row r="40">
      <c r="A40" s="32">
        <f>Plan!A33</f>
        <v/>
      </c>
      <c r="B40" s="33">
        <f>Plan!C33</f>
        <v/>
      </c>
      <c r="C40" s="16">
        <f>Plan!D33</f>
        <v/>
      </c>
      <c r="D40" s="16">
        <f>Plan!I33</f>
        <v/>
      </c>
      <c r="E40" s="16">
        <f>Plan!K33</f>
        <v/>
      </c>
      <c r="F40" s="16">
        <f>Plan!L33</f>
        <v/>
      </c>
      <c r="G40" s="16">
        <f>Plan!O33</f>
        <v/>
      </c>
      <c r="H40" s="34">
        <f>IF(AND(H$5&gt;$E40,H$5&lt;=$F40),IF(H$5=$E40+1,$C40,""),"")</f>
        <v/>
      </c>
      <c r="I40" s="34">
        <f>IF(AND(I$5&gt;$E40,I$5&lt;=$F40),IF(I$5=$E40+1,$C40,""),"")</f>
        <v/>
      </c>
      <c r="J40" s="34">
        <f>IF(AND(J$5&gt;$E40,J$5&lt;=$F40),IF(J$5=$E40+1,$C40,""),"")</f>
        <v/>
      </c>
      <c r="K40" s="34">
        <f>IF(AND(K$5&gt;$E40,K$5&lt;=$F40),IF(K$5=$E40+1,$C40,""),"")</f>
        <v/>
      </c>
      <c r="L40" s="34">
        <f>IF(AND(L$5&gt;$E40,L$5&lt;=$F40),IF(L$5=$E40+1,$C40,""),"")</f>
        <v/>
      </c>
      <c r="M40" s="34">
        <f>IF(AND(M$5&gt;$E40,M$5&lt;=$F40),IF(M$5=$E40+1,$C40,""),"")</f>
        <v/>
      </c>
      <c r="N40" s="34">
        <f>IF(AND(N$5&gt;$E40,N$5&lt;=$F40),IF(N$5=$E40+1,$C40,""),"")</f>
        <v/>
      </c>
      <c r="O40" s="34">
        <f>IF(AND(O$5&gt;$E40,O$5&lt;=$F40),IF(O$5=$E40+1,$C40,""),"")</f>
        <v/>
      </c>
      <c r="P40" s="34">
        <f>IF(AND(P$5&gt;$E40,P$5&lt;=$F40),IF(P$5=$E40+1,$C40,""),"")</f>
        <v/>
      </c>
      <c r="Q40" s="34">
        <f>IF(AND(Q$5&gt;$E40,Q$5&lt;=$F40),IF(Q$5=$E40+1,$C40,""),"")</f>
        <v/>
      </c>
      <c r="R40" s="34">
        <f>IF(AND(R$5&gt;$E40,R$5&lt;=$F40),IF(R$5=$E40+1,$C40,""),"")</f>
        <v/>
      </c>
      <c r="S40" s="34">
        <f>IF(AND(S$5&gt;$E40,S$5&lt;=$F40),IF(S$5=$E40+1,$C40,""),"")</f>
        <v/>
      </c>
      <c r="T40" s="34">
        <f>IF(AND(T$5&gt;$E40,T$5&lt;=$F40),IF(T$5=$E40+1,$C40,""),"")</f>
        <v/>
      </c>
      <c r="U40" s="34">
        <f>IF(AND(U$5&gt;$E40,U$5&lt;=$F40),IF(U$5=$E40+1,$C40,""),"")</f>
        <v/>
      </c>
      <c r="V40" s="34">
        <f>IF(AND(V$5&gt;$E40,V$5&lt;=$F40),IF(V$5=$E40+1,$C40,""),"")</f>
        <v/>
      </c>
      <c r="W40" s="34">
        <f>IF(AND(W$5&gt;$E40,W$5&lt;=$F40),IF(W$5=$E40+1,$C40,""),"")</f>
        <v/>
      </c>
      <c r="X40" s="34">
        <f>IF(AND(X$5&gt;$E40,X$5&lt;=$F40),IF(X$5=$E40+1,$C40,""),"")</f>
        <v/>
      </c>
      <c r="Y40" s="34">
        <f>IF(AND(Y$5&gt;$E40,Y$5&lt;=$F40),IF(Y$5=$E40+1,$C40,""),"")</f>
        <v/>
      </c>
      <c r="Z40" s="34">
        <f>IF(AND(Z$5&gt;$E40,Z$5&lt;=$F40),IF(Z$5=$E40+1,$C40,""),"")</f>
        <v/>
      </c>
      <c r="AA40" s="34">
        <f>IF(AND(AA$5&gt;$E40,AA$5&lt;=$F40),IF(AA$5=$E40+1,$C40,""),"")</f>
        <v/>
      </c>
      <c r="AB40" s="34">
        <f>IF(AND(AB$5&gt;$E40,AB$5&lt;=$F40),IF(AB$5=$E40+1,$C40,""),"")</f>
        <v/>
      </c>
      <c r="AC40" s="34">
        <f>IF(AND(AC$5&gt;$E40,AC$5&lt;=$F40),IF(AC$5=$E40+1,$C40,""),"")</f>
        <v/>
      </c>
      <c r="AD40" s="34">
        <f>IF(AND(AD$5&gt;$E40,AD$5&lt;=$F40),IF(AD$5=$E40+1,$C40,""),"")</f>
        <v/>
      </c>
      <c r="AE40" s="34">
        <f>IF(AND(AE$5&gt;$E40,AE$5&lt;=$F40),IF(AE$5=$E40+1,$C40,""),"")</f>
        <v/>
      </c>
      <c r="AF40" s="34">
        <f>IF(AND(AF$5&gt;$E40,AF$5&lt;=$F40),IF(AF$5=$E40+1,$C40,""),"")</f>
        <v/>
      </c>
      <c r="AG40" s="34">
        <f>IF(AND(AG$5&gt;$E40,AG$5&lt;=$F40),IF(AG$5=$E40+1,$C40,""),"")</f>
        <v/>
      </c>
      <c r="AH40" s="34">
        <f>IF(AND(AH$5&gt;$E40,AH$5&lt;=$F40),IF(AH$5=$E40+1,$C40,""),"")</f>
        <v/>
      </c>
      <c r="AI40" s="34">
        <f>IF(AND(AI$5&gt;$E40,AI$5&lt;=$F40),IF(AI$5=$E40+1,$C40,""),"")</f>
        <v/>
      </c>
      <c r="AJ40" s="34">
        <f>IF(AND(AJ$5&gt;$E40,AJ$5&lt;=$F40),IF(AJ$5=$E40+1,$C40,""),"")</f>
        <v/>
      </c>
      <c r="AK40" s="34">
        <f>IF(AND(AK$5&gt;$E40,AK$5&lt;=$F40),IF(AK$5=$E40+1,$C40,""),"")</f>
        <v/>
      </c>
      <c r="AL40" s="34">
        <f>IF(AND(AL$5&gt;$E40,AL$5&lt;=$F40),IF(AL$5=$E40+1,$C40,""),"")</f>
        <v/>
      </c>
      <c r="AM40" s="34">
        <f>IF(AND(AM$5&gt;$E40,AM$5&lt;=$F40),IF(AM$5=$E40+1,$C40,""),"")</f>
        <v/>
      </c>
      <c r="AN40" s="34">
        <f>IF(AND(AN$5&gt;$E40,AN$5&lt;=$F40),IF(AN$5=$E40+1,$C40,""),"")</f>
        <v/>
      </c>
      <c r="AO40" s="34">
        <f>IF(AND(AO$5&gt;$E40,AO$5&lt;=$F40),IF(AO$5=$E40+1,$C40,""),"")</f>
        <v/>
      </c>
      <c r="AP40" s="34">
        <f>IF(AND(AP$5&gt;$E40,AP$5&lt;=$F40),IF(AP$5=$E40+1,$C40,""),"")</f>
        <v/>
      </c>
      <c r="AQ40" s="34">
        <f>IF(AND(AQ$5&gt;$E40,AQ$5&lt;=$F40),IF(AQ$5=$E40+1,$C40,""),"")</f>
        <v/>
      </c>
      <c r="AR40" s="34">
        <f>IF(AND(AR$5&gt;$E40,AR$5&lt;=$F40),IF(AR$5=$E40+1,$C40,""),"")</f>
        <v/>
      </c>
      <c r="AS40" s="34">
        <f>IF(AND(AS$5&gt;$E40,AS$5&lt;=$F40),IF(AS$5=$E40+1,$C40,""),"")</f>
        <v/>
      </c>
      <c r="AT40" s="34">
        <f>IF(AND(AT$5&gt;$E40,AT$5&lt;=$F40),IF(AT$5=$E40+1,$C40,""),"")</f>
        <v/>
      </c>
      <c r="AU40" s="34">
        <f>IF(AND(AU$5&gt;$E40,AU$5&lt;=$F40),IF(AU$5=$E40+1,$C40,""),"")</f>
        <v/>
      </c>
      <c r="AV40" s="34">
        <f>IF(AND(AV$5&gt;$E40,AV$5&lt;=$F40),IF(AV$5=$E40+1,$C40,""),"")</f>
        <v/>
      </c>
      <c r="AW40" s="34">
        <f>IF(AND(AW$5&gt;$E40,AW$5&lt;=$F40),IF(AW$5=$E40+1,$C40,""),"")</f>
        <v/>
      </c>
      <c r="AX40" s="34">
        <f>IF(AND(AX$5&gt;$E40,AX$5&lt;=$F40),IF(AX$5=$E40+1,$C40,""),"")</f>
        <v/>
      </c>
      <c r="AY40" s="34">
        <f>IF(AND(AY$5&gt;$E40,AY$5&lt;=$F40),IF(AY$5=$E40+1,$C40,""),"")</f>
        <v/>
      </c>
      <c r="AZ40" s="34">
        <f>IF(AND(AZ$5&gt;$E40,AZ$5&lt;=$F40),IF(AZ$5=$E40+1,$C40,""),"")</f>
        <v/>
      </c>
      <c r="BA40" s="34">
        <f>IF(AND(BA$5&gt;$E40,BA$5&lt;=$F40),IF(BA$5=$E40+1,$C40,""),"")</f>
        <v/>
      </c>
      <c r="BB40" s="34">
        <f>IF(AND(BB$5&gt;$E40,BB$5&lt;=$F40),IF(BB$5=$E40+1,$C40,""),"")</f>
        <v/>
      </c>
      <c r="BC40" s="34">
        <f>IF(AND(BC$5&gt;$E40,BC$5&lt;=$F40),IF(BC$5=$E40+1,$C40,""),"")</f>
        <v/>
      </c>
      <c r="BD40" s="34">
        <f>IF(AND(BD$5&gt;$E40,BD$5&lt;=$F40),IF(BD$5=$E40+1,$C40,""),"")</f>
        <v/>
      </c>
      <c r="BE40" s="34">
        <f>IF(AND(BE$5&gt;$E40,BE$5&lt;=$F40),IF(BE$5=$E40+1,$C40,""),"")</f>
        <v/>
      </c>
      <c r="BF40" s="34">
        <f>IF(AND(BF$5&gt;$E40,BF$5&lt;=$F40),IF(BF$5=$E40+1,$C40,""),"")</f>
        <v/>
      </c>
      <c r="BG40" s="34">
        <f>IF(AND(BG$5&gt;$E40,BG$5&lt;=$F40),IF(BG$5=$E40+1,$C40,""),"")</f>
        <v/>
      </c>
      <c r="BH40" s="34">
        <f>IF(AND(BH$5&gt;$E40,BH$5&lt;=$F40),IF(BH$5=$E40+1,$C40,""),"")</f>
        <v/>
      </c>
      <c r="BI40" s="34">
        <f>IF(AND(BI$5&gt;$E40,BI$5&lt;=$F40),IF(BI$5=$E40+1,$C40,""),"")</f>
        <v/>
      </c>
      <c r="BJ40" s="34">
        <f>IF(AND(BJ$5&gt;$E40,BJ$5&lt;=$F40),IF(BJ$5=$E40+1,$C40,""),"")</f>
        <v/>
      </c>
      <c r="BK40" s="34">
        <f>IF(AND(BK$5&gt;$E40,BK$5&lt;=$F40),IF(BK$5=$E40+1,$C40,""),"")</f>
        <v/>
      </c>
      <c r="BL40" s="34">
        <f>IF(AND(BL$5&gt;$E40,BL$5&lt;=$F40),IF(BL$5=$E40+1,$C40,""),"")</f>
        <v/>
      </c>
      <c r="BM40" s="34">
        <f>IF(AND(BM$5&gt;$E40,BM$5&lt;=$F40),IF(BM$5=$E40+1,$C40,""),"")</f>
        <v/>
      </c>
      <c r="BN40" s="34">
        <f>IF(AND(BN$5&gt;$E40,BN$5&lt;=$F40),IF(BN$5=$E40+1,$C40,""),"")</f>
        <v/>
      </c>
      <c r="BO40" s="34">
        <f>IF(AND(BO$5&gt;$E40,BO$5&lt;=$F40),IF(BO$5=$E40+1,$C40,""),"")</f>
        <v/>
      </c>
      <c r="BP40" s="34">
        <f>IF(AND(BP$5&gt;$E40,BP$5&lt;=$F40),IF(BP$5=$E40+1,$C40,""),"")</f>
        <v/>
      </c>
      <c r="BQ40" s="34">
        <f>IF(AND(BQ$5&gt;$E40,BQ$5&lt;=$F40),IF(BQ$5=$E40+1,$C40,""),"")</f>
        <v/>
      </c>
      <c r="BR40" s="34">
        <f>IF(AND(BR$5&gt;$E40,BR$5&lt;=$F40),IF(BR$5=$E40+1,$C40,""),"")</f>
        <v/>
      </c>
      <c r="BS40" s="34">
        <f>IF(AND(BS$5&gt;$E40,BS$5&lt;=$F40),IF(BS$5=$E40+1,$C40,""),"")</f>
        <v/>
      </c>
      <c r="BT40" s="34">
        <f>IF(AND(BT$5&gt;$E40,BT$5&lt;=$F40),IF(BT$5=$E40+1,$C40,""),"")</f>
        <v/>
      </c>
      <c r="BU40" s="34">
        <f>IF(AND(BU$5&gt;$E40,BU$5&lt;=$F40),IF(BU$5=$E40+1,$C40,""),"")</f>
        <v/>
      </c>
      <c r="BV40" s="34">
        <f>IF(AND(BV$5&gt;$E40,BV$5&lt;=$F40),IF(BV$5=$E40+1,$C40,""),"")</f>
        <v/>
      </c>
      <c r="BW40" s="34">
        <f>IF(AND(BW$5&gt;$E40,BW$5&lt;=$F40),IF(BW$5=$E40+1,$C40,""),"")</f>
        <v/>
      </c>
      <c r="BX40" s="34">
        <f>IF(AND(BX$5&gt;$E40,BX$5&lt;=$F40),IF(BX$5=$E40+1,$C40,""),"")</f>
        <v/>
      </c>
      <c r="BY40" s="34">
        <f>IF(AND(BY$5&gt;$E40,BY$5&lt;=$F40),IF(BY$5=$E40+1,$C40,""),"")</f>
        <v/>
      </c>
      <c r="BZ40" s="34">
        <f>IF(AND(BZ$5&gt;$E40,BZ$5&lt;=$F40),IF(BZ$5=$E40+1,$C40,""),"")</f>
        <v/>
      </c>
      <c r="CA40" s="34">
        <f>IF(AND(CA$5&gt;$E40,CA$5&lt;=$F40),IF(CA$5=$E40+1,$C40,""),"")</f>
        <v/>
      </c>
      <c r="CB40" s="34">
        <f>IF(AND(CB$5&gt;$E40,CB$5&lt;=$F40),IF(CB$5=$E40+1,$C40,""),"")</f>
        <v/>
      </c>
      <c r="CC40" s="34">
        <f>IF(AND(CC$5&gt;$E40,CC$5&lt;=$F40),IF(CC$5=$E40+1,$C40,""),"")</f>
        <v/>
      </c>
      <c r="CD40" s="34">
        <f>IF(AND(CD$5&gt;$E40,CD$5&lt;=$F40),IF(CD$5=$E40+1,$C40,""),"")</f>
        <v/>
      </c>
      <c r="CE40" s="34">
        <f>IF(AND(CE$5&gt;$E40,CE$5&lt;=$F40),IF(CE$5=$E40+1,$C40,""),"")</f>
        <v/>
      </c>
      <c r="CF40" s="34">
        <f>IF(AND(CF$5&gt;$E40,CF$5&lt;=$F40),IF(CF$5=$E40+1,$C40,""),"")</f>
        <v/>
      </c>
      <c r="CG40" s="34">
        <f>IF(AND(CG$5&gt;$E40,CG$5&lt;=$F40),IF(CG$5=$E40+1,$C40,""),"")</f>
        <v/>
      </c>
      <c r="CH40" s="34">
        <f>IF(AND(CH$5&gt;$E40,CH$5&lt;=$F40),IF(CH$5=$E40+1,$C40,""),"")</f>
        <v/>
      </c>
      <c r="CI40" s="34">
        <f>IF(AND(CI$5&gt;$E40,CI$5&lt;=$F40),IF(CI$5=$E40+1,$C40,""),"")</f>
        <v/>
      </c>
      <c r="CJ40" s="34">
        <f>IF(AND(CJ$5&gt;$E40,CJ$5&lt;=$F40),IF(CJ$5=$E40+1,$C40,""),"")</f>
        <v/>
      </c>
      <c r="CK40" s="34">
        <f>IF(AND(CK$5&gt;$E40,CK$5&lt;=$F40),IF(CK$5=$E40+1,$C40,""),"")</f>
        <v/>
      </c>
      <c r="CL40" s="34">
        <f>IF(AND(CL$5&gt;$E40,CL$5&lt;=$F40),IF(CL$5=$E40+1,$C40,""),"")</f>
        <v/>
      </c>
      <c r="CM40" s="34">
        <f>IF(AND(CM$5&gt;$E40,CM$5&lt;=$F40),IF(CM$5=$E40+1,$C40,""),"")</f>
        <v/>
      </c>
      <c r="CN40" s="34">
        <f>IF(AND(CN$5&gt;$E40,CN$5&lt;=$F40),IF(CN$5=$E40+1,$C40,""),"")</f>
        <v/>
      </c>
      <c r="CO40" s="34">
        <f>IF(AND(CO$5&gt;$E40,CO$5&lt;=$F40),IF(CO$5=$E40+1,$C40,""),"")</f>
        <v/>
      </c>
      <c r="CP40" s="34">
        <f>IF(AND(CP$5&gt;$E40,CP$5&lt;=$F40),IF(CP$5=$E40+1,$C40,""),"")</f>
        <v/>
      </c>
      <c r="CQ40" s="34">
        <f>IF(AND(CQ$5&gt;$E40,CQ$5&lt;=$F40),IF(CQ$5=$E40+1,$C40,""),"")</f>
        <v/>
      </c>
      <c r="CR40" s="34">
        <f>IF(AND(CR$5&gt;$E40,CR$5&lt;=$F40),IF(CR$5=$E40+1,$C40,""),"")</f>
        <v/>
      </c>
      <c r="CS40" s="34">
        <f>IF(AND(CS$5&gt;$E40,CS$5&lt;=$F40),IF(CS$5=$E40+1,$C40,""),"")</f>
        <v/>
      </c>
    </row>
    <row r="41">
      <c r="A41" s="32">
        <f>Plan!A34</f>
        <v/>
      </c>
      <c r="B41" s="33">
        <f>Plan!C34</f>
        <v/>
      </c>
      <c r="C41" s="16">
        <f>Plan!D34</f>
        <v/>
      </c>
      <c r="D41" s="16">
        <f>Plan!I34</f>
        <v/>
      </c>
      <c r="E41" s="16">
        <f>Plan!K34</f>
        <v/>
      </c>
      <c r="F41" s="16">
        <f>Plan!L34</f>
        <v/>
      </c>
      <c r="G41" s="16">
        <f>Plan!O34</f>
        <v/>
      </c>
      <c r="H41" s="34">
        <f>IF(AND(H$5&gt;$E41,H$5&lt;=$F41),IF(H$5=$E41+1,$C41,""),"")</f>
        <v/>
      </c>
      <c r="I41" s="34">
        <f>IF(AND(I$5&gt;$E41,I$5&lt;=$F41),IF(I$5=$E41+1,$C41,""),"")</f>
        <v/>
      </c>
      <c r="J41" s="34">
        <f>IF(AND(J$5&gt;$E41,J$5&lt;=$F41),IF(J$5=$E41+1,$C41,""),"")</f>
        <v/>
      </c>
      <c r="K41" s="34">
        <f>IF(AND(K$5&gt;$E41,K$5&lt;=$F41),IF(K$5=$E41+1,$C41,""),"")</f>
        <v/>
      </c>
      <c r="L41" s="34">
        <f>IF(AND(L$5&gt;$E41,L$5&lt;=$F41),IF(L$5=$E41+1,$C41,""),"")</f>
        <v/>
      </c>
      <c r="M41" s="34">
        <f>IF(AND(M$5&gt;$E41,M$5&lt;=$F41),IF(M$5=$E41+1,$C41,""),"")</f>
        <v/>
      </c>
      <c r="N41" s="34">
        <f>IF(AND(N$5&gt;$E41,N$5&lt;=$F41),IF(N$5=$E41+1,$C41,""),"")</f>
        <v/>
      </c>
      <c r="O41" s="34">
        <f>IF(AND(O$5&gt;$E41,O$5&lt;=$F41),IF(O$5=$E41+1,$C41,""),"")</f>
        <v/>
      </c>
      <c r="P41" s="34">
        <f>IF(AND(P$5&gt;$E41,P$5&lt;=$F41),IF(P$5=$E41+1,$C41,""),"")</f>
        <v/>
      </c>
      <c r="Q41" s="34">
        <f>IF(AND(Q$5&gt;$E41,Q$5&lt;=$F41),IF(Q$5=$E41+1,$C41,""),"")</f>
        <v/>
      </c>
      <c r="R41" s="34">
        <f>IF(AND(R$5&gt;$E41,R$5&lt;=$F41),IF(R$5=$E41+1,$C41,""),"")</f>
        <v/>
      </c>
      <c r="S41" s="34">
        <f>IF(AND(S$5&gt;$E41,S$5&lt;=$F41),IF(S$5=$E41+1,$C41,""),"")</f>
        <v/>
      </c>
      <c r="T41" s="34">
        <f>IF(AND(T$5&gt;$E41,T$5&lt;=$F41),IF(T$5=$E41+1,$C41,""),"")</f>
        <v/>
      </c>
      <c r="U41" s="34">
        <f>IF(AND(U$5&gt;$E41,U$5&lt;=$F41),IF(U$5=$E41+1,$C41,""),"")</f>
        <v/>
      </c>
      <c r="V41" s="34">
        <f>IF(AND(V$5&gt;$E41,V$5&lt;=$F41),IF(V$5=$E41+1,$C41,""),"")</f>
        <v/>
      </c>
      <c r="W41" s="34">
        <f>IF(AND(W$5&gt;$E41,W$5&lt;=$F41),IF(W$5=$E41+1,$C41,""),"")</f>
        <v/>
      </c>
      <c r="X41" s="34">
        <f>IF(AND(X$5&gt;$E41,X$5&lt;=$F41),IF(X$5=$E41+1,$C41,""),"")</f>
        <v/>
      </c>
      <c r="Y41" s="34">
        <f>IF(AND(Y$5&gt;$E41,Y$5&lt;=$F41),IF(Y$5=$E41+1,$C41,""),"")</f>
        <v/>
      </c>
      <c r="Z41" s="34">
        <f>IF(AND(Z$5&gt;$E41,Z$5&lt;=$F41),IF(Z$5=$E41+1,$C41,""),"")</f>
        <v/>
      </c>
      <c r="AA41" s="34">
        <f>IF(AND(AA$5&gt;$E41,AA$5&lt;=$F41),IF(AA$5=$E41+1,$C41,""),"")</f>
        <v/>
      </c>
      <c r="AB41" s="34">
        <f>IF(AND(AB$5&gt;$E41,AB$5&lt;=$F41),IF(AB$5=$E41+1,$C41,""),"")</f>
        <v/>
      </c>
      <c r="AC41" s="34">
        <f>IF(AND(AC$5&gt;$E41,AC$5&lt;=$F41),IF(AC$5=$E41+1,$C41,""),"")</f>
        <v/>
      </c>
      <c r="AD41" s="34">
        <f>IF(AND(AD$5&gt;$E41,AD$5&lt;=$F41),IF(AD$5=$E41+1,$C41,""),"")</f>
        <v/>
      </c>
      <c r="AE41" s="34">
        <f>IF(AND(AE$5&gt;$E41,AE$5&lt;=$F41),IF(AE$5=$E41+1,$C41,""),"")</f>
        <v/>
      </c>
      <c r="AF41" s="34">
        <f>IF(AND(AF$5&gt;$E41,AF$5&lt;=$F41),IF(AF$5=$E41+1,$C41,""),"")</f>
        <v/>
      </c>
      <c r="AG41" s="34">
        <f>IF(AND(AG$5&gt;$E41,AG$5&lt;=$F41),IF(AG$5=$E41+1,$C41,""),"")</f>
        <v/>
      </c>
      <c r="AH41" s="34">
        <f>IF(AND(AH$5&gt;$E41,AH$5&lt;=$F41),IF(AH$5=$E41+1,$C41,""),"")</f>
        <v/>
      </c>
      <c r="AI41" s="34">
        <f>IF(AND(AI$5&gt;$E41,AI$5&lt;=$F41),IF(AI$5=$E41+1,$C41,""),"")</f>
        <v/>
      </c>
      <c r="AJ41" s="34">
        <f>IF(AND(AJ$5&gt;$E41,AJ$5&lt;=$F41),IF(AJ$5=$E41+1,$C41,""),"")</f>
        <v/>
      </c>
      <c r="AK41" s="34">
        <f>IF(AND(AK$5&gt;$E41,AK$5&lt;=$F41),IF(AK$5=$E41+1,$C41,""),"")</f>
        <v/>
      </c>
      <c r="AL41" s="34">
        <f>IF(AND(AL$5&gt;$E41,AL$5&lt;=$F41),IF(AL$5=$E41+1,$C41,""),"")</f>
        <v/>
      </c>
      <c r="AM41" s="34">
        <f>IF(AND(AM$5&gt;$E41,AM$5&lt;=$F41),IF(AM$5=$E41+1,$C41,""),"")</f>
        <v/>
      </c>
      <c r="AN41" s="34">
        <f>IF(AND(AN$5&gt;$E41,AN$5&lt;=$F41),IF(AN$5=$E41+1,$C41,""),"")</f>
        <v/>
      </c>
      <c r="AO41" s="34">
        <f>IF(AND(AO$5&gt;$E41,AO$5&lt;=$F41),IF(AO$5=$E41+1,$C41,""),"")</f>
        <v/>
      </c>
      <c r="AP41" s="34">
        <f>IF(AND(AP$5&gt;$E41,AP$5&lt;=$F41),IF(AP$5=$E41+1,$C41,""),"")</f>
        <v/>
      </c>
      <c r="AQ41" s="34">
        <f>IF(AND(AQ$5&gt;$E41,AQ$5&lt;=$F41),IF(AQ$5=$E41+1,$C41,""),"")</f>
        <v/>
      </c>
      <c r="AR41" s="34">
        <f>IF(AND(AR$5&gt;$E41,AR$5&lt;=$F41),IF(AR$5=$E41+1,$C41,""),"")</f>
        <v/>
      </c>
      <c r="AS41" s="34">
        <f>IF(AND(AS$5&gt;$E41,AS$5&lt;=$F41),IF(AS$5=$E41+1,$C41,""),"")</f>
        <v/>
      </c>
      <c r="AT41" s="34">
        <f>IF(AND(AT$5&gt;$E41,AT$5&lt;=$F41),IF(AT$5=$E41+1,$C41,""),"")</f>
        <v/>
      </c>
      <c r="AU41" s="34">
        <f>IF(AND(AU$5&gt;$E41,AU$5&lt;=$F41),IF(AU$5=$E41+1,$C41,""),"")</f>
        <v/>
      </c>
      <c r="AV41" s="34">
        <f>IF(AND(AV$5&gt;$E41,AV$5&lt;=$F41),IF(AV$5=$E41+1,$C41,""),"")</f>
        <v/>
      </c>
      <c r="AW41" s="34">
        <f>IF(AND(AW$5&gt;$E41,AW$5&lt;=$F41),IF(AW$5=$E41+1,$C41,""),"")</f>
        <v/>
      </c>
      <c r="AX41" s="34">
        <f>IF(AND(AX$5&gt;$E41,AX$5&lt;=$F41),IF(AX$5=$E41+1,$C41,""),"")</f>
        <v/>
      </c>
      <c r="AY41" s="34">
        <f>IF(AND(AY$5&gt;$E41,AY$5&lt;=$F41),IF(AY$5=$E41+1,$C41,""),"")</f>
        <v/>
      </c>
      <c r="AZ41" s="34">
        <f>IF(AND(AZ$5&gt;$E41,AZ$5&lt;=$F41),IF(AZ$5=$E41+1,$C41,""),"")</f>
        <v/>
      </c>
      <c r="BA41" s="34">
        <f>IF(AND(BA$5&gt;$E41,BA$5&lt;=$F41),IF(BA$5=$E41+1,$C41,""),"")</f>
        <v/>
      </c>
      <c r="BB41" s="34">
        <f>IF(AND(BB$5&gt;$E41,BB$5&lt;=$F41),IF(BB$5=$E41+1,$C41,""),"")</f>
        <v/>
      </c>
      <c r="BC41" s="34">
        <f>IF(AND(BC$5&gt;$E41,BC$5&lt;=$F41),IF(BC$5=$E41+1,$C41,""),"")</f>
        <v/>
      </c>
      <c r="BD41" s="34">
        <f>IF(AND(BD$5&gt;$E41,BD$5&lt;=$F41),IF(BD$5=$E41+1,$C41,""),"")</f>
        <v/>
      </c>
      <c r="BE41" s="34">
        <f>IF(AND(BE$5&gt;$E41,BE$5&lt;=$F41),IF(BE$5=$E41+1,$C41,""),"")</f>
        <v/>
      </c>
      <c r="BF41" s="34">
        <f>IF(AND(BF$5&gt;$E41,BF$5&lt;=$F41),IF(BF$5=$E41+1,$C41,""),"")</f>
        <v/>
      </c>
      <c r="BG41" s="34">
        <f>IF(AND(BG$5&gt;$E41,BG$5&lt;=$F41),IF(BG$5=$E41+1,$C41,""),"")</f>
        <v/>
      </c>
      <c r="BH41" s="34">
        <f>IF(AND(BH$5&gt;$E41,BH$5&lt;=$F41),IF(BH$5=$E41+1,$C41,""),"")</f>
        <v/>
      </c>
      <c r="BI41" s="34">
        <f>IF(AND(BI$5&gt;$E41,BI$5&lt;=$F41),IF(BI$5=$E41+1,$C41,""),"")</f>
        <v/>
      </c>
      <c r="BJ41" s="34">
        <f>IF(AND(BJ$5&gt;$E41,BJ$5&lt;=$F41),IF(BJ$5=$E41+1,$C41,""),"")</f>
        <v/>
      </c>
      <c r="BK41" s="34">
        <f>IF(AND(BK$5&gt;$E41,BK$5&lt;=$F41),IF(BK$5=$E41+1,$C41,""),"")</f>
        <v/>
      </c>
      <c r="BL41" s="34">
        <f>IF(AND(BL$5&gt;$E41,BL$5&lt;=$F41),IF(BL$5=$E41+1,$C41,""),"")</f>
        <v/>
      </c>
      <c r="BM41" s="34">
        <f>IF(AND(BM$5&gt;$E41,BM$5&lt;=$F41),IF(BM$5=$E41+1,$C41,""),"")</f>
        <v/>
      </c>
      <c r="BN41" s="34">
        <f>IF(AND(BN$5&gt;$E41,BN$5&lt;=$F41),IF(BN$5=$E41+1,$C41,""),"")</f>
        <v/>
      </c>
      <c r="BO41" s="34">
        <f>IF(AND(BO$5&gt;$E41,BO$5&lt;=$F41),IF(BO$5=$E41+1,$C41,""),"")</f>
        <v/>
      </c>
      <c r="BP41" s="34">
        <f>IF(AND(BP$5&gt;$E41,BP$5&lt;=$F41),IF(BP$5=$E41+1,$C41,""),"")</f>
        <v/>
      </c>
      <c r="BQ41" s="34">
        <f>IF(AND(BQ$5&gt;$E41,BQ$5&lt;=$F41),IF(BQ$5=$E41+1,$C41,""),"")</f>
        <v/>
      </c>
      <c r="BR41" s="34">
        <f>IF(AND(BR$5&gt;$E41,BR$5&lt;=$F41),IF(BR$5=$E41+1,$C41,""),"")</f>
        <v/>
      </c>
      <c r="BS41" s="34">
        <f>IF(AND(BS$5&gt;$E41,BS$5&lt;=$F41),IF(BS$5=$E41+1,$C41,""),"")</f>
        <v/>
      </c>
      <c r="BT41" s="34">
        <f>IF(AND(BT$5&gt;$E41,BT$5&lt;=$F41),IF(BT$5=$E41+1,$C41,""),"")</f>
        <v/>
      </c>
      <c r="BU41" s="34">
        <f>IF(AND(BU$5&gt;$E41,BU$5&lt;=$F41),IF(BU$5=$E41+1,$C41,""),"")</f>
        <v/>
      </c>
      <c r="BV41" s="34">
        <f>IF(AND(BV$5&gt;$E41,BV$5&lt;=$F41),IF(BV$5=$E41+1,$C41,""),"")</f>
        <v/>
      </c>
      <c r="BW41" s="34">
        <f>IF(AND(BW$5&gt;$E41,BW$5&lt;=$F41),IF(BW$5=$E41+1,$C41,""),"")</f>
        <v/>
      </c>
      <c r="BX41" s="34">
        <f>IF(AND(BX$5&gt;$E41,BX$5&lt;=$F41),IF(BX$5=$E41+1,$C41,""),"")</f>
        <v/>
      </c>
      <c r="BY41" s="34">
        <f>IF(AND(BY$5&gt;$E41,BY$5&lt;=$F41),IF(BY$5=$E41+1,$C41,""),"")</f>
        <v/>
      </c>
      <c r="BZ41" s="34">
        <f>IF(AND(BZ$5&gt;$E41,BZ$5&lt;=$F41),IF(BZ$5=$E41+1,$C41,""),"")</f>
        <v/>
      </c>
      <c r="CA41" s="34">
        <f>IF(AND(CA$5&gt;$E41,CA$5&lt;=$F41),IF(CA$5=$E41+1,$C41,""),"")</f>
        <v/>
      </c>
      <c r="CB41" s="34">
        <f>IF(AND(CB$5&gt;$E41,CB$5&lt;=$F41),IF(CB$5=$E41+1,$C41,""),"")</f>
        <v/>
      </c>
      <c r="CC41" s="34">
        <f>IF(AND(CC$5&gt;$E41,CC$5&lt;=$F41),IF(CC$5=$E41+1,$C41,""),"")</f>
        <v/>
      </c>
      <c r="CD41" s="34">
        <f>IF(AND(CD$5&gt;$E41,CD$5&lt;=$F41),IF(CD$5=$E41+1,$C41,""),"")</f>
        <v/>
      </c>
      <c r="CE41" s="34">
        <f>IF(AND(CE$5&gt;$E41,CE$5&lt;=$F41),IF(CE$5=$E41+1,$C41,""),"")</f>
        <v/>
      </c>
      <c r="CF41" s="34">
        <f>IF(AND(CF$5&gt;$E41,CF$5&lt;=$F41),IF(CF$5=$E41+1,$C41,""),"")</f>
        <v/>
      </c>
      <c r="CG41" s="34">
        <f>IF(AND(CG$5&gt;$E41,CG$5&lt;=$F41),IF(CG$5=$E41+1,$C41,""),"")</f>
        <v/>
      </c>
      <c r="CH41" s="34">
        <f>IF(AND(CH$5&gt;$E41,CH$5&lt;=$F41),IF(CH$5=$E41+1,$C41,""),"")</f>
        <v/>
      </c>
      <c r="CI41" s="34">
        <f>IF(AND(CI$5&gt;$E41,CI$5&lt;=$F41),IF(CI$5=$E41+1,$C41,""),"")</f>
        <v/>
      </c>
      <c r="CJ41" s="34">
        <f>IF(AND(CJ$5&gt;$E41,CJ$5&lt;=$F41),IF(CJ$5=$E41+1,$C41,""),"")</f>
        <v/>
      </c>
      <c r="CK41" s="34">
        <f>IF(AND(CK$5&gt;$E41,CK$5&lt;=$F41),IF(CK$5=$E41+1,$C41,""),"")</f>
        <v/>
      </c>
      <c r="CL41" s="34">
        <f>IF(AND(CL$5&gt;$E41,CL$5&lt;=$F41),IF(CL$5=$E41+1,$C41,""),"")</f>
        <v/>
      </c>
      <c r="CM41" s="34">
        <f>IF(AND(CM$5&gt;$E41,CM$5&lt;=$F41),IF(CM$5=$E41+1,$C41,""),"")</f>
        <v/>
      </c>
      <c r="CN41" s="34">
        <f>IF(AND(CN$5&gt;$E41,CN$5&lt;=$F41),IF(CN$5=$E41+1,$C41,""),"")</f>
        <v/>
      </c>
      <c r="CO41" s="34">
        <f>IF(AND(CO$5&gt;$E41,CO$5&lt;=$F41),IF(CO$5=$E41+1,$C41,""),"")</f>
        <v/>
      </c>
      <c r="CP41" s="34">
        <f>IF(AND(CP$5&gt;$E41,CP$5&lt;=$F41),IF(CP$5=$E41+1,$C41,""),"")</f>
        <v/>
      </c>
      <c r="CQ41" s="34">
        <f>IF(AND(CQ$5&gt;$E41,CQ$5&lt;=$F41),IF(CQ$5=$E41+1,$C41,""),"")</f>
        <v/>
      </c>
      <c r="CR41" s="34">
        <f>IF(AND(CR$5&gt;$E41,CR$5&lt;=$F41),IF(CR$5=$E41+1,$C41,""),"")</f>
        <v/>
      </c>
      <c r="CS41" s="34">
        <f>IF(AND(CS$5&gt;$E41,CS$5&lt;=$F41),IF(CS$5=$E41+1,$C41,""),"")</f>
        <v/>
      </c>
    </row>
    <row r="42">
      <c r="A42" s="32">
        <f>Plan!A35</f>
        <v/>
      </c>
      <c r="B42" s="33">
        <f>Plan!C35</f>
        <v/>
      </c>
      <c r="C42" s="16">
        <f>Plan!D35</f>
        <v/>
      </c>
      <c r="D42" s="16">
        <f>Plan!I35</f>
        <v/>
      </c>
      <c r="E42" s="16">
        <f>Plan!K35</f>
        <v/>
      </c>
      <c r="F42" s="16">
        <f>Plan!L35</f>
        <v/>
      </c>
      <c r="G42" s="16">
        <f>Plan!O35</f>
        <v/>
      </c>
      <c r="H42" s="34">
        <f>IF(AND(H$5&gt;$E42,H$5&lt;=$F42),IF(H$5=$E42+1,$C42,""),"")</f>
        <v/>
      </c>
      <c r="I42" s="34">
        <f>IF(AND(I$5&gt;$E42,I$5&lt;=$F42),IF(I$5=$E42+1,$C42,""),"")</f>
        <v/>
      </c>
      <c r="J42" s="34">
        <f>IF(AND(J$5&gt;$E42,J$5&lt;=$F42),IF(J$5=$E42+1,$C42,""),"")</f>
        <v/>
      </c>
      <c r="K42" s="34">
        <f>IF(AND(K$5&gt;$E42,K$5&lt;=$F42),IF(K$5=$E42+1,$C42,""),"")</f>
        <v/>
      </c>
      <c r="L42" s="34">
        <f>IF(AND(L$5&gt;$E42,L$5&lt;=$F42),IF(L$5=$E42+1,$C42,""),"")</f>
        <v/>
      </c>
      <c r="M42" s="34">
        <f>IF(AND(M$5&gt;$E42,M$5&lt;=$F42),IF(M$5=$E42+1,$C42,""),"")</f>
        <v/>
      </c>
      <c r="N42" s="34">
        <f>IF(AND(N$5&gt;$E42,N$5&lt;=$F42),IF(N$5=$E42+1,$C42,""),"")</f>
        <v/>
      </c>
      <c r="O42" s="34">
        <f>IF(AND(O$5&gt;$E42,O$5&lt;=$F42),IF(O$5=$E42+1,$C42,""),"")</f>
        <v/>
      </c>
      <c r="P42" s="34">
        <f>IF(AND(P$5&gt;$E42,P$5&lt;=$F42),IF(P$5=$E42+1,$C42,""),"")</f>
        <v/>
      </c>
      <c r="Q42" s="34">
        <f>IF(AND(Q$5&gt;$E42,Q$5&lt;=$F42),IF(Q$5=$E42+1,$C42,""),"")</f>
        <v/>
      </c>
      <c r="R42" s="34">
        <f>IF(AND(R$5&gt;$E42,R$5&lt;=$F42),IF(R$5=$E42+1,$C42,""),"")</f>
        <v/>
      </c>
      <c r="S42" s="34">
        <f>IF(AND(S$5&gt;$E42,S$5&lt;=$F42),IF(S$5=$E42+1,$C42,""),"")</f>
        <v/>
      </c>
      <c r="T42" s="34">
        <f>IF(AND(T$5&gt;$E42,T$5&lt;=$F42),IF(T$5=$E42+1,$C42,""),"")</f>
        <v/>
      </c>
      <c r="U42" s="34">
        <f>IF(AND(U$5&gt;$E42,U$5&lt;=$F42),IF(U$5=$E42+1,$C42,""),"")</f>
        <v/>
      </c>
      <c r="V42" s="34">
        <f>IF(AND(V$5&gt;$E42,V$5&lt;=$F42),IF(V$5=$E42+1,$C42,""),"")</f>
        <v/>
      </c>
      <c r="W42" s="34">
        <f>IF(AND(W$5&gt;$E42,W$5&lt;=$F42),IF(W$5=$E42+1,$C42,""),"")</f>
        <v/>
      </c>
      <c r="X42" s="34">
        <f>IF(AND(X$5&gt;$E42,X$5&lt;=$F42),IF(X$5=$E42+1,$C42,""),"")</f>
        <v/>
      </c>
      <c r="Y42" s="34">
        <f>IF(AND(Y$5&gt;$E42,Y$5&lt;=$F42),IF(Y$5=$E42+1,$C42,""),"")</f>
        <v/>
      </c>
      <c r="Z42" s="34">
        <f>IF(AND(Z$5&gt;$E42,Z$5&lt;=$F42),IF(Z$5=$E42+1,$C42,""),"")</f>
        <v/>
      </c>
      <c r="AA42" s="34">
        <f>IF(AND(AA$5&gt;$E42,AA$5&lt;=$F42),IF(AA$5=$E42+1,$C42,""),"")</f>
        <v/>
      </c>
      <c r="AB42" s="34">
        <f>IF(AND(AB$5&gt;$E42,AB$5&lt;=$F42),IF(AB$5=$E42+1,$C42,""),"")</f>
        <v/>
      </c>
      <c r="AC42" s="34">
        <f>IF(AND(AC$5&gt;$E42,AC$5&lt;=$F42),IF(AC$5=$E42+1,$C42,""),"")</f>
        <v/>
      </c>
      <c r="AD42" s="34">
        <f>IF(AND(AD$5&gt;$E42,AD$5&lt;=$F42),IF(AD$5=$E42+1,$C42,""),"")</f>
        <v/>
      </c>
      <c r="AE42" s="34">
        <f>IF(AND(AE$5&gt;$E42,AE$5&lt;=$F42),IF(AE$5=$E42+1,$C42,""),"")</f>
        <v/>
      </c>
      <c r="AF42" s="34">
        <f>IF(AND(AF$5&gt;$E42,AF$5&lt;=$F42),IF(AF$5=$E42+1,$C42,""),"")</f>
        <v/>
      </c>
      <c r="AG42" s="34">
        <f>IF(AND(AG$5&gt;$E42,AG$5&lt;=$F42),IF(AG$5=$E42+1,$C42,""),"")</f>
        <v/>
      </c>
      <c r="AH42" s="34">
        <f>IF(AND(AH$5&gt;$E42,AH$5&lt;=$F42),IF(AH$5=$E42+1,$C42,""),"")</f>
        <v/>
      </c>
      <c r="AI42" s="34">
        <f>IF(AND(AI$5&gt;$E42,AI$5&lt;=$F42),IF(AI$5=$E42+1,$C42,""),"")</f>
        <v/>
      </c>
      <c r="AJ42" s="34">
        <f>IF(AND(AJ$5&gt;$E42,AJ$5&lt;=$F42),IF(AJ$5=$E42+1,$C42,""),"")</f>
        <v/>
      </c>
      <c r="AK42" s="34">
        <f>IF(AND(AK$5&gt;$E42,AK$5&lt;=$F42),IF(AK$5=$E42+1,$C42,""),"")</f>
        <v/>
      </c>
      <c r="AL42" s="34">
        <f>IF(AND(AL$5&gt;$E42,AL$5&lt;=$F42),IF(AL$5=$E42+1,$C42,""),"")</f>
        <v/>
      </c>
      <c r="AM42" s="34">
        <f>IF(AND(AM$5&gt;$E42,AM$5&lt;=$F42),IF(AM$5=$E42+1,$C42,""),"")</f>
        <v/>
      </c>
      <c r="AN42" s="34">
        <f>IF(AND(AN$5&gt;$E42,AN$5&lt;=$F42),IF(AN$5=$E42+1,$C42,""),"")</f>
        <v/>
      </c>
      <c r="AO42" s="34">
        <f>IF(AND(AO$5&gt;$E42,AO$5&lt;=$F42),IF(AO$5=$E42+1,$C42,""),"")</f>
        <v/>
      </c>
      <c r="AP42" s="34">
        <f>IF(AND(AP$5&gt;$E42,AP$5&lt;=$F42),IF(AP$5=$E42+1,$C42,""),"")</f>
        <v/>
      </c>
      <c r="AQ42" s="34">
        <f>IF(AND(AQ$5&gt;$E42,AQ$5&lt;=$F42),IF(AQ$5=$E42+1,$C42,""),"")</f>
        <v/>
      </c>
      <c r="AR42" s="34">
        <f>IF(AND(AR$5&gt;$E42,AR$5&lt;=$F42),IF(AR$5=$E42+1,$C42,""),"")</f>
        <v/>
      </c>
      <c r="AS42" s="34">
        <f>IF(AND(AS$5&gt;$E42,AS$5&lt;=$F42),IF(AS$5=$E42+1,$C42,""),"")</f>
        <v/>
      </c>
      <c r="AT42" s="34">
        <f>IF(AND(AT$5&gt;$E42,AT$5&lt;=$F42),IF(AT$5=$E42+1,$C42,""),"")</f>
        <v/>
      </c>
      <c r="AU42" s="34">
        <f>IF(AND(AU$5&gt;$E42,AU$5&lt;=$F42),IF(AU$5=$E42+1,$C42,""),"")</f>
        <v/>
      </c>
      <c r="AV42" s="34">
        <f>IF(AND(AV$5&gt;$E42,AV$5&lt;=$F42),IF(AV$5=$E42+1,$C42,""),"")</f>
        <v/>
      </c>
      <c r="AW42" s="34">
        <f>IF(AND(AW$5&gt;$E42,AW$5&lt;=$F42),IF(AW$5=$E42+1,$C42,""),"")</f>
        <v/>
      </c>
      <c r="AX42" s="34">
        <f>IF(AND(AX$5&gt;$E42,AX$5&lt;=$F42),IF(AX$5=$E42+1,$C42,""),"")</f>
        <v/>
      </c>
      <c r="AY42" s="34">
        <f>IF(AND(AY$5&gt;$E42,AY$5&lt;=$F42),IF(AY$5=$E42+1,$C42,""),"")</f>
        <v/>
      </c>
      <c r="AZ42" s="34">
        <f>IF(AND(AZ$5&gt;$E42,AZ$5&lt;=$F42),IF(AZ$5=$E42+1,$C42,""),"")</f>
        <v/>
      </c>
      <c r="BA42" s="34">
        <f>IF(AND(BA$5&gt;$E42,BA$5&lt;=$F42),IF(BA$5=$E42+1,$C42,""),"")</f>
        <v/>
      </c>
      <c r="BB42" s="34">
        <f>IF(AND(BB$5&gt;$E42,BB$5&lt;=$F42),IF(BB$5=$E42+1,$C42,""),"")</f>
        <v/>
      </c>
      <c r="BC42" s="34">
        <f>IF(AND(BC$5&gt;$E42,BC$5&lt;=$F42),IF(BC$5=$E42+1,$C42,""),"")</f>
        <v/>
      </c>
      <c r="BD42" s="34">
        <f>IF(AND(BD$5&gt;$E42,BD$5&lt;=$F42),IF(BD$5=$E42+1,$C42,""),"")</f>
        <v/>
      </c>
      <c r="BE42" s="34">
        <f>IF(AND(BE$5&gt;$E42,BE$5&lt;=$F42),IF(BE$5=$E42+1,$C42,""),"")</f>
        <v/>
      </c>
      <c r="BF42" s="34">
        <f>IF(AND(BF$5&gt;$E42,BF$5&lt;=$F42),IF(BF$5=$E42+1,$C42,""),"")</f>
        <v/>
      </c>
      <c r="BG42" s="34">
        <f>IF(AND(BG$5&gt;$E42,BG$5&lt;=$F42),IF(BG$5=$E42+1,$C42,""),"")</f>
        <v/>
      </c>
      <c r="BH42" s="34">
        <f>IF(AND(BH$5&gt;$E42,BH$5&lt;=$F42),IF(BH$5=$E42+1,$C42,""),"")</f>
        <v/>
      </c>
      <c r="BI42" s="34">
        <f>IF(AND(BI$5&gt;$E42,BI$5&lt;=$F42),IF(BI$5=$E42+1,$C42,""),"")</f>
        <v/>
      </c>
      <c r="BJ42" s="34">
        <f>IF(AND(BJ$5&gt;$E42,BJ$5&lt;=$F42),IF(BJ$5=$E42+1,$C42,""),"")</f>
        <v/>
      </c>
      <c r="BK42" s="34">
        <f>IF(AND(BK$5&gt;$E42,BK$5&lt;=$F42),IF(BK$5=$E42+1,$C42,""),"")</f>
        <v/>
      </c>
      <c r="BL42" s="34">
        <f>IF(AND(BL$5&gt;$E42,BL$5&lt;=$F42),IF(BL$5=$E42+1,$C42,""),"")</f>
        <v/>
      </c>
      <c r="BM42" s="34">
        <f>IF(AND(BM$5&gt;$E42,BM$5&lt;=$F42),IF(BM$5=$E42+1,$C42,""),"")</f>
        <v/>
      </c>
      <c r="BN42" s="34">
        <f>IF(AND(BN$5&gt;$E42,BN$5&lt;=$F42),IF(BN$5=$E42+1,$C42,""),"")</f>
        <v/>
      </c>
      <c r="BO42" s="34">
        <f>IF(AND(BO$5&gt;$E42,BO$5&lt;=$F42),IF(BO$5=$E42+1,$C42,""),"")</f>
        <v/>
      </c>
      <c r="BP42" s="34">
        <f>IF(AND(BP$5&gt;$E42,BP$5&lt;=$F42),IF(BP$5=$E42+1,$C42,""),"")</f>
        <v/>
      </c>
      <c r="BQ42" s="34">
        <f>IF(AND(BQ$5&gt;$E42,BQ$5&lt;=$F42),IF(BQ$5=$E42+1,$C42,""),"")</f>
        <v/>
      </c>
      <c r="BR42" s="34">
        <f>IF(AND(BR$5&gt;$E42,BR$5&lt;=$F42),IF(BR$5=$E42+1,$C42,""),"")</f>
        <v/>
      </c>
      <c r="BS42" s="34">
        <f>IF(AND(BS$5&gt;$E42,BS$5&lt;=$F42),IF(BS$5=$E42+1,$C42,""),"")</f>
        <v/>
      </c>
      <c r="BT42" s="34">
        <f>IF(AND(BT$5&gt;$E42,BT$5&lt;=$F42),IF(BT$5=$E42+1,$C42,""),"")</f>
        <v/>
      </c>
      <c r="BU42" s="34">
        <f>IF(AND(BU$5&gt;$E42,BU$5&lt;=$F42),IF(BU$5=$E42+1,$C42,""),"")</f>
        <v/>
      </c>
      <c r="BV42" s="34">
        <f>IF(AND(BV$5&gt;$E42,BV$5&lt;=$F42),IF(BV$5=$E42+1,$C42,""),"")</f>
        <v/>
      </c>
      <c r="BW42" s="34">
        <f>IF(AND(BW$5&gt;$E42,BW$5&lt;=$F42),IF(BW$5=$E42+1,$C42,""),"")</f>
        <v/>
      </c>
      <c r="BX42" s="34">
        <f>IF(AND(BX$5&gt;$E42,BX$5&lt;=$F42),IF(BX$5=$E42+1,$C42,""),"")</f>
        <v/>
      </c>
      <c r="BY42" s="34">
        <f>IF(AND(BY$5&gt;$E42,BY$5&lt;=$F42),IF(BY$5=$E42+1,$C42,""),"")</f>
        <v/>
      </c>
      <c r="BZ42" s="34">
        <f>IF(AND(BZ$5&gt;$E42,BZ$5&lt;=$F42),IF(BZ$5=$E42+1,$C42,""),"")</f>
        <v/>
      </c>
      <c r="CA42" s="34">
        <f>IF(AND(CA$5&gt;$E42,CA$5&lt;=$F42),IF(CA$5=$E42+1,$C42,""),"")</f>
        <v/>
      </c>
      <c r="CB42" s="34">
        <f>IF(AND(CB$5&gt;$E42,CB$5&lt;=$F42),IF(CB$5=$E42+1,$C42,""),"")</f>
        <v/>
      </c>
      <c r="CC42" s="34">
        <f>IF(AND(CC$5&gt;$E42,CC$5&lt;=$F42),IF(CC$5=$E42+1,$C42,""),"")</f>
        <v/>
      </c>
      <c r="CD42" s="34">
        <f>IF(AND(CD$5&gt;$E42,CD$5&lt;=$F42),IF(CD$5=$E42+1,$C42,""),"")</f>
        <v/>
      </c>
      <c r="CE42" s="34">
        <f>IF(AND(CE$5&gt;$E42,CE$5&lt;=$F42),IF(CE$5=$E42+1,$C42,""),"")</f>
        <v/>
      </c>
      <c r="CF42" s="34">
        <f>IF(AND(CF$5&gt;$E42,CF$5&lt;=$F42),IF(CF$5=$E42+1,$C42,""),"")</f>
        <v/>
      </c>
      <c r="CG42" s="34">
        <f>IF(AND(CG$5&gt;$E42,CG$5&lt;=$F42),IF(CG$5=$E42+1,$C42,""),"")</f>
        <v/>
      </c>
      <c r="CH42" s="34">
        <f>IF(AND(CH$5&gt;$E42,CH$5&lt;=$F42),IF(CH$5=$E42+1,$C42,""),"")</f>
        <v/>
      </c>
      <c r="CI42" s="34">
        <f>IF(AND(CI$5&gt;$E42,CI$5&lt;=$F42),IF(CI$5=$E42+1,$C42,""),"")</f>
        <v/>
      </c>
      <c r="CJ42" s="34">
        <f>IF(AND(CJ$5&gt;$E42,CJ$5&lt;=$F42),IF(CJ$5=$E42+1,$C42,""),"")</f>
        <v/>
      </c>
      <c r="CK42" s="34">
        <f>IF(AND(CK$5&gt;$E42,CK$5&lt;=$F42),IF(CK$5=$E42+1,$C42,""),"")</f>
        <v/>
      </c>
      <c r="CL42" s="34">
        <f>IF(AND(CL$5&gt;$E42,CL$5&lt;=$F42),IF(CL$5=$E42+1,$C42,""),"")</f>
        <v/>
      </c>
      <c r="CM42" s="34">
        <f>IF(AND(CM$5&gt;$E42,CM$5&lt;=$F42),IF(CM$5=$E42+1,$C42,""),"")</f>
        <v/>
      </c>
      <c r="CN42" s="34">
        <f>IF(AND(CN$5&gt;$E42,CN$5&lt;=$F42),IF(CN$5=$E42+1,$C42,""),"")</f>
        <v/>
      </c>
      <c r="CO42" s="34">
        <f>IF(AND(CO$5&gt;$E42,CO$5&lt;=$F42),IF(CO$5=$E42+1,$C42,""),"")</f>
        <v/>
      </c>
      <c r="CP42" s="34">
        <f>IF(AND(CP$5&gt;$E42,CP$5&lt;=$F42),IF(CP$5=$E42+1,$C42,""),"")</f>
        <v/>
      </c>
      <c r="CQ42" s="34">
        <f>IF(AND(CQ$5&gt;$E42,CQ$5&lt;=$F42),IF(CQ$5=$E42+1,$C42,""),"")</f>
        <v/>
      </c>
      <c r="CR42" s="34">
        <f>IF(AND(CR$5&gt;$E42,CR$5&lt;=$F42),IF(CR$5=$E42+1,$C42,""),"")</f>
        <v/>
      </c>
      <c r="CS42" s="34">
        <f>IF(AND(CS$5&gt;$E42,CS$5&lt;=$F42),IF(CS$5=$E42+1,$C42,""),"")</f>
        <v/>
      </c>
    </row>
    <row r="43">
      <c r="A43" s="32">
        <f>Plan!A36</f>
        <v/>
      </c>
      <c r="B43" s="33">
        <f>Plan!C36</f>
        <v/>
      </c>
      <c r="C43" s="16">
        <f>Plan!D36</f>
        <v/>
      </c>
      <c r="D43" s="16">
        <f>Plan!I36</f>
        <v/>
      </c>
      <c r="E43" s="16">
        <f>Plan!K36</f>
        <v/>
      </c>
      <c r="F43" s="16">
        <f>Plan!L36</f>
        <v/>
      </c>
      <c r="G43" s="16">
        <f>Plan!O36</f>
        <v/>
      </c>
      <c r="H43" s="34">
        <f>IF(AND(H$5&gt;$E43,H$5&lt;=$F43),IF(H$5=$E43+1,$C43,""),"")</f>
        <v/>
      </c>
      <c r="I43" s="34">
        <f>IF(AND(I$5&gt;$E43,I$5&lt;=$F43),IF(I$5=$E43+1,$C43,""),"")</f>
        <v/>
      </c>
      <c r="J43" s="34">
        <f>IF(AND(J$5&gt;$E43,J$5&lt;=$F43),IF(J$5=$E43+1,$C43,""),"")</f>
        <v/>
      </c>
      <c r="K43" s="34">
        <f>IF(AND(K$5&gt;$E43,K$5&lt;=$F43),IF(K$5=$E43+1,$C43,""),"")</f>
        <v/>
      </c>
      <c r="L43" s="34">
        <f>IF(AND(L$5&gt;$E43,L$5&lt;=$F43),IF(L$5=$E43+1,$C43,""),"")</f>
        <v/>
      </c>
      <c r="M43" s="34">
        <f>IF(AND(M$5&gt;$E43,M$5&lt;=$F43),IF(M$5=$E43+1,$C43,""),"")</f>
        <v/>
      </c>
      <c r="N43" s="34">
        <f>IF(AND(N$5&gt;$E43,N$5&lt;=$F43),IF(N$5=$E43+1,$C43,""),"")</f>
        <v/>
      </c>
      <c r="O43" s="34">
        <f>IF(AND(O$5&gt;$E43,O$5&lt;=$F43),IF(O$5=$E43+1,$C43,""),"")</f>
        <v/>
      </c>
      <c r="P43" s="34">
        <f>IF(AND(P$5&gt;$E43,P$5&lt;=$F43),IF(P$5=$E43+1,$C43,""),"")</f>
        <v/>
      </c>
      <c r="Q43" s="34">
        <f>IF(AND(Q$5&gt;$E43,Q$5&lt;=$F43),IF(Q$5=$E43+1,$C43,""),"")</f>
        <v/>
      </c>
      <c r="R43" s="34">
        <f>IF(AND(R$5&gt;$E43,R$5&lt;=$F43),IF(R$5=$E43+1,$C43,""),"")</f>
        <v/>
      </c>
      <c r="S43" s="34">
        <f>IF(AND(S$5&gt;$E43,S$5&lt;=$F43),IF(S$5=$E43+1,$C43,""),"")</f>
        <v/>
      </c>
      <c r="T43" s="34">
        <f>IF(AND(T$5&gt;$E43,T$5&lt;=$F43),IF(T$5=$E43+1,$C43,""),"")</f>
        <v/>
      </c>
      <c r="U43" s="34">
        <f>IF(AND(U$5&gt;$E43,U$5&lt;=$F43),IF(U$5=$E43+1,$C43,""),"")</f>
        <v/>
      </c>
      <c r="V43" s="34">
        <f>IF(AND(V$5&gt;$E43,V$5&lt;=$F43),IF(V$5=$E43+1,$C43,""),"")</f>
        <v/>
      </c>
      <c r="W43" s="34">
        <f>IF(AND(W$5&gt;$E43,W$5&lt;=$F43),IF(W$5=$E43+1,$C43,""),"")</f>
        <v/>
      </c>
      <c r="X43" s="34">
        <f>IF(AND(X$5&gt;$E43,X$5&lt;=$F43),IF(X$5=$E43+1,$C43,""),"")</f>
        <v/>
      </c>
      <c r="Y43" s="34">
        <f>IF(AND(Y$5&gt;$E43,Y$5&lt;=$F43),IF(Y$5=$E43+1,$C43,""),"")</f>
        <v/>
      </c>
      <c r="Z43" s="34">
        <f>IF(AND(Z$5&gt;$E43,Z$5&lt;=$F43),IF(Z$5=$E43+1,$C43,""),"")</f>
        <v/>
      </c>
      <c r="AA43" s="34">
        <f>IF(AND(AA$5&gt;$E43,AA$5&lt;=$F43),IF(AA$5=$E43+1,$C43,""),"")</f>
        <v/>
      </c>
      <c r="AB43" s="34">
        <f>IF(AND(AB$5&gt;$E43,AB$5&lt;=$F43),IF(AB$5=$E43+1,$C43,""),"")</f>
        <v/>
      </c>
      <c r="AC43" s="34">
        <f>IF(AND(AC$5&gt;$E43,AC$5&lt;=$F43),IF(AC$5=$E43+1,$C43,""),"")</f>
        <v/>
      </c>
      <c r="AD43" s="34">
        <f>IF(AND(AD$5&gt;$E43,AD$5&lt;=$F43),IF(AD$5=$E43+1,$C43,""),"")</f>
        <v/>
      </c>
      <c r="AE43" s="34">
        <f>IF(AND(AE$5&gt;$E43,AE$5&lt;=$F43),IF(AE$5=$E43+1,$C43,""),"")</f>
        <v/>
      </c>
      <c r="AF43" s="34">
        <f>IF(AND(AF$5&gt;$E43,AF$5&lt;=$F43),IF(AF$5=$E43+1,$C43,""),"")</f>
        <v/>
      </c>
      <c r="AG43" s="34">
        <f>IF(AND(AG$5&gt;$E43,AG$5&lt;=$F43),IF(AG$5=$E43+1,$C43,""),"")</f>
        <v/>
      </c>
      <c r="AH43" s="34">
        <f>IF(AND(AH$5&gt;$E43,AH$5&lt;=$F43),IF(AH$5=$E43+1,$C43,""),"")</f>
        <v/>
      </c>
      <c r="AI43" s="34">
        <f>IF(AND(AI$5&gt;$E43,AI$5&lt;=$F43),IF(AI$5=$E43+1,$C43,""),"")</f>
        <v/>
      </c>
      <c r="AJ43" s="34">
        <f>IF(AND(AJ$5&gt;$E43,AJ$5&lt;=$F43),IF(AJ$5=$E43+1,$C43,""),"")</f>
        <v/>
      </c>
      <c r="AK43" s="34">
        <f>IF(AND(AK$5&gt;$E43,AK$5&lt;=$F43),IF(AK$5=$E43+1,$C43,""),"")</f>
        <v/>
      </c>
      <c r="AL43" s="34">
        <f>IF(AND(AL$5&gt;$E43,AL$5&lt;=$F43),IF(AL$5=$E43+1,$C43,""),"")</f>
        <v/>
      </c>
      <c r="AM43" s="34">
        <f>IF(AND(AM$5&gt;$E43,AM$5&lt;=$F43),IF(AM$5=$E43+1,$C43,""),"")</f>
        <v/>
      </c>
      <c r="AN43" s="34">
        <f>IF(AND(AN$5&gt;$E43,AN$5&lt;=$F43),IF(AN$5=$E43+1,$C43,""),"")</f>
        <v/>
      </c>
      <c r="AO43" s="34">
        <f>IF(AND(AO$5&gt;$E43,AO$5&lt;=$F43),IF(AO$5=$E43+1,$C43,""),"")</f>
        <v/>
      </c>
      <c r="AP43" s="34">
        <f>IF(AND(AP$5&gt;$E43,AP$5&lt;=$F43),IF(AP$5=$E43+1,$C43,""),"")</f>
        <v/>
      </c>
      <c r="AQ43" s="34">
        <f>IF(AND(AQ$5&gt;$E43,AQ$5&lt;=$F43),IF(AQ$5=$E43+1,$C43,""),"")</f>
        <v/>
      </c>
      <c r="AR43" s="34">
        <f>IF(AND(AR$5&gt;$E43,AR$5&lt;=$F43),IF(AR$5=$E43+1,$C43,""),"")</f>
        <v/>
      </c>
      <c r="AS43" s="34">
        <f>IF(AND(AS$5&gt;$E43,AS$5&lt;=$F43),IF(AS$5=$E43+1,$C43,""),"")</f>
        <v/>
      </c>
      <c r="AT43" s="34">
        <f>IF(AND(AT$5&gt;$E43,AT$5&lt;=$F43),IF(AT$5=$E43+1,$C43,""),"")</f>
        <v/>
      </c>
      <c r="AU43" s="34">
        <f>IF(AND(AU$5&gt;$E43,AU$5&lt;=$F43),IF(AU$5=$E43+1,$C43,""),"")</f>
        <v/>
      </c>
      <c r="AV43" s="34">
        <f>IF(AND(AV$5&gt;$E43,AV$5&lt;=$F43),IF(AV$5=$E43+1,$C43,""),"")</f>
        <v/>
      </c>
      <c r="AW43" s="34">
        <f>IF(AND(AW$5&gt;$E43,AW$5&lt;=$F43),IF(AW$5=$E43+1,$C43,""),"")</f>
        <v/>
      </c>
      <c r="AX43" s="34">
        <f>IF(AND(AX$5&gt;$E43,AX$5&lt;=$F43),IF(AX$5=$E43+1,$C43,""),"")</f>
        <v/>
      </c>
      <c r="AY43" s="34">
        <f>IF(AND(AY$5&gt;$E43,AY$5&lt;=$F43),IF(AY$5=$E43+1,$C43,""),"")</f>
        <v/>
      </c>
      <c r="AZ43" s="34">
        <f>IF(AND(AZ$5&gt;$E43,AZ$5&lt;=$F43),IF(AZ$5=$E43+1,$C43,""),"")</f>
        <v/>
      </c>
      <c r="BA43" s="34">
        <f>IF(AND(BA$5&gt;$E43,BA$5&lt;=$F43),IF(BA$5=$E43+1,$C43,""),"")</f>
        <v/>
      </c>
      <c r="BB43" s="34">
        <f>IF(AND(BB$5&gt;$E43,BB$5&lt;=$F43),IF(BB$5=$E43+1,$C43,""),"")</f>
        <v/>
      </c>
      <c r="BC43" s="34">
        <f>IF(AND(BC$5&gt;$E43,BC$5&lt;=$F43),IF(BC$5=$E43+1,$C43,""),"")</f>
        <v/>
      </c>
      <c r="BD43" s="34">
        <f>IF(AND(BD$5&gt;$E43,BD$5&lt;=$F43),IF(BD$5=$E43+1,$C43,""),"")</f>
        <v/>
      </c>
      <c r="BE43" s="34">
        <f>IF(AND(BE$5&gt;$E43,BE$5&lt;=$F43),IF(BE$5=$E43+1,$C43,""),"")</f>
        <v/>
      </c>
      <c r="BF43" s="34">
        <f>IF(AND(BF$5&gt;$E43,BF$5&lt;=$F43),IF(BF$5=$E43+1,$C43,""),"")</f>
        <v/>
      </c>
      <c r="BG43" s="34">
        <f>IF(AND(BG$5&gt;$E43,BG$5&lt;=$F43),IF(BG$5=$E43+1,$C43,""),"")</f>
        <v/>
      </c>
      <c r="BH43" s="34">
        <f>IF(AND(BH$5&gt;$E43,BH$5&lt;=$F43),IF(BH$5=$E43+1,$C43,""),"")</f>
        <v/>
      </c>
      <c r="BI43" s="34">
        <f>IF(AND(BI$5&gt;$E43,BI$5&lt;=$F43),IF(BI$5=$E43+1,$C43,""),"")</f>
        <v/>
      </c>
      <c r="BJ43" s="34">
        <f>IF(AND(BJ$5&gt;$E43,BJ$5&lt;=$F43),IF(BJ$5=$E43+1,$C43,""),"")</f>
        <v/>
      </c>
      <c r="BK43" s="34">
        <f>IF(AND(BK$5&gt;$E43,BK$5&lt;=$F43),IF(BK$5=$E43+1,$C43,""),"")</f>
        <v/>
      </c>
      <c r="BL43" s="34">
        <f>IF(AND(BL$5&gt;$E43,BL$5&lt;=$F43),IF(BL$5=$E43+1,$C43,""),"")</f>
        <v/>
      </c>
      <c r="BM43" s="34">
        <f>IF(AND(BM$5&gt;$E43,BM$5&lt;=$F43),IF(BM$5=$E43+1,$C43,""),"")</f>
        <v/>
      </c>
      <c r="BN43" s="34">
        <f>IF(AND(BN$5&gt;$E43,BN$5&lt;=$F43),IF(BN$5=$E43+1,$C43,""),"")</f>
        <v/>
      </c>
      <c r="BO43" s="34">
        <f>IF(AND(BO$5&gt;$E43,BO$5&lt;=$F43),IF(BO$5=$E43+1,$C43,""),"")</f>
        <v/>
      </c>
      <c r="BP43" s="34">
        <f>IF(AND(BP$5&gt;$E43,BP$5&lt;=$F43),IF(BP$5=$E43+1,$C43,""),"")</f>
        <v/>
      </c>
      <c r="BQ43" s="34">
        <f>IF(AND(BQ$5&gt;$E43,BQ$5&lt;=$F43),IF(BQ$5=$E43+1,$C43,""),"")</f>
        <v/>
      </c>
      <c r="BR43" s="34">
        <f>IF(AND(BR$5&gt;$E43,BR$5&lt;=$F43),IF(BR$5=$E43+1,$C43,""),"")</f>
        <v/>
      </c>
      <c r="BS43" s="34">
        <f>IF(AND(BS$5&gt;$E43,BS$5&lt;=$F43),IF(BS$5=$E43+1,$C43,""),"")</f>
        <v/>
      </c>
      <c r="BT43" s="34">
        <f>IF(AND(BT$5&gt;$E43,BT$5&lt;=$F43),IF(BT$5=$E43+1,$C43,""),"")</f>
        <v/>
      </c>
      <c r="BU43" s="34">
        <f>IF(AND(BU$5&gt;$E43,BU$5&lt;=$F43),IF(BU$5=$E43+1,$C43,""),"")</f>
        <v/>
      </c>
      <c r="BV43" s="34">
        <f>IF(AND(BV$5&gt;$E43,BV$5&lt;=$F43),IF(BV$5=$E43+1,$C43,""),"")</f>
        <v/>
      </c>
      <c r="BW43" s="34">
        <f>IF(AND(BW$5&gt;$E43,BW$5&lt;=$F43),IF(BW$5=$E43+1,$C43,""),"")</f>
        <v/>
      </c>
      <c r="BX43" s="34">
        <f>IF(AND(BX$5&gt;$E43,BX$5&lt;=$F43),IF(BX$5=$E43+1,$C43,""),"")</f>
        <v/>
      </c>
      <c r="BY43" s="34">
        <f>IF(AND(BY$5&gt;$E43,BY$5&lt;=$F43),IF(BY$5=$E43+1,$C43,""),"")</f>
        <v/>
      </c>
      <c r="BZ43" s="34">
        <f>IF(AND(BZ$5&gt;$E43,BZ$5&lt;=$F43),IF(BZ$5=$E43+1,$C43,""),"")</f>
        <v/>
      </c>
      <c r="CA43" s="34">
        <f>IF(AND(CA$5&gt;$E43,CA$5&lt;=$F43),IF(CA$5=$E43+1,$C43,""),"")</f>
        <v/>
      </c>
      <c r="CB43" s="34">
        <f>IF(AND(CB$5&gt;$E43,CB$5&lt;=$F43),IF(CB$5=$E43+1,$C43,""),"")</f>
        <v/>
      </c>
      <c r="CC43" s="34">
        <f>IF(AND(CC$5&gt;$E43,CC$5&lt;=$F43),IF(CC$5=$E43+1,$C43,""),"")</f>
        <v/>
      </c>
      <c r="CD43" s="34">
        <f>IF(AND(CD$5&gt;$E43,CD$5&lt;=$F43),IF(CD$5=$E43+1,$C43,""),"")</f>
        <v/>
      </c>
      <c r="CE43" s="34">
        <f>IF(AND(CE$5&gt;$E43,CE$5&lt;=$F43),IF(CE$5=$E43+1,$C43,""),"")</f>
        <v/>
      </c>
      <c r="CF43" s="34">
        <f>IF(AND(CF$5&gt;$E43,CF$5&lt;=$F43),IF(CF$5=$E43+1,$C43,""),"")</f>
        <v/>
      </c>
      <c r="CG43" s="34">
        <f>IF(AND(CG$5&gt;$E43,CG$5&lt;=$F43),IF(CG$5=$E43+1,$C43,""),"")</f>
        <v/>
      </c>
      <c r="CH43" s="34">
        <f>IF(AND(CH$5&gt;$E43,CH$5&lt;=$F43),IF(CH$5=$E43+1,$C43,""),"")</f>
        <v/>
      </c>
      <c r="CI43" s="34">
        <f>IF(AND(CI$5&gt;$E43,CI$5&lt;=$F43),IF(CI$5=$E43+1,$C43,""),"")</f>
        <v/>
      </c>
      <c r="CJ43" s="34">
        <f>IF(AND(CJ$5&gt;$E43,CJ$5&lt;=$F43),IF(CJ$5=$E43+1,$C43,""),"")</f>
        <v/>
      </c>
      <c r="CK43" s="34">
        <f>IF(AND(CK$5&gt;$E43,CK$5&lt;=$F43),IF(CK$5=$E43+1,$C43,""),"")</f>
        <v/>
      </c>
      <c r="CL43" s="34">
        <f>IF(AND(CL$5&gt;$E43,CL$5&lt;=$F43),IF(CL$5=$E43+1,$C43,""),"")</f>
        <v/>
      </c>
      <c r="CM43" s="34">
        <f>IF(AND(CM$5&gt;$E43,CM$5&lt;=$F43),IF(CM$5=$E43+1,$C43,""),"")</f>
        <v/>
      </c>
      <c r="CN43" s="34">
        <f>IF(AND(CN$5&gt;$E43,CN$5&lt;=$F43),IF(CN$5=$E43+1,$C43,""),"")</f>
        <v/>
      </c>
      <c r="CO43" s="34">
        <f>IF(AND(CO$5&gt;$E43,CO$5&lt;=$F43),IF(CO$5=$E43+1,$C43,""),"")</f>
        <v/>
      </c>
      <c r="CP43" s="34">
        <f>IF(AND(CP$5&gt;$E43,CP$5&lt;=$F43),IF(CP$5=$E43+1,$C43,""),"")</f>
        <v/>
      </c>
      <c r="CQ43" s="34">
        <f>IF(AND(CQ$5&gt;$E43,CQ$5&lt;=$F43),IF(CQ$5=$E43+1,$C43,""),"")</f>
        <v/>
      </c>
      <c r="CR43" s="34">
        <f>IF(AND(CR$5&gt;$E43,CR$5&lt;=$F43),IF(CR$5=$E43+1,$C43,""),"")</f>
        <v/>
      </c>
      <c r="CS43" s="34">
        <f>IF(AND(CS$5&gt;$E43,CS$5&lt;=$F43),IF(CS$5=$E43+1,$C43,""),"")</f>
        <v/>
      </c>
    </row>
    <row r="44">
      <c r="A44" s="27" t="inlineStr">
        <is>
          <t>Fase 4. Panel de administración</t>
        </is>
      </c>
      <c r="B44" s="28" t="n"/>
      <c r="C44" s="28" t="n"/>
      <c r="D44" s="28" t="n"/>
      <c r="E44" s="29">
        <f>SUMPRODUCT(MIN((Plan!$B$5:$B$76="4. Panel de administración")*Plan!$K$5:$K$76+(Plan!$B$5:$B$76&lt;&gt;"4. Panel de administración")*1E9))</f>
        <v/>
      </c>
      <c r="F44" s="29">
        <f>SUMPRODUCT(MAX((Plan!$B$5:$B$76="4. Panel de administración")*Plan!$L$5:$L$76))</f>
        <v/>
      </c>
      <c r="G44" s="30">
        <f>Resumen!E32</f>
        <v/>
      </c>
      <c r="H44" s="31" t="n"/>
      <c r="I44" s="31" t="n"/>
      <c r="J44" s="31" t="n"/>
      <c r="K44" s="31" t="n"/>
      <c r="L44" s="31" t="n"/>
      <c r="M44" s="31" t="n"/>
      <c r="N44" s="31" t="n"/>
      <c r="O44" s="31" t="n"/>
      <c r="P44" s="31" t="n"/>
      <c r="Q44" s="31" t="n"/>
      <c r="R44" s="31" t="n"/>
      <c r="S44" s="31" t="n"/>
      <c r="T44" s="31" t="n"/>
      <c r="U44" s="31" t="n"/>
      <c r="V44" s="31" t="n"/>
      <c r="W44" s="31" t="n"/>
      <c r="X44" s="31" t="n"/>
      <c r="Y44" s="31" t="n"/>
      <c r="Z44" s="31" t="n"/>
      <c r="AA44" s="31" t="n"/>
      <c r="AB44" s="31" t="n"/>
      <c r="AC44" s="31" t="n"/>
      <c r="AD44" s="31" t="n"/>
      <c r="AE44" s="31" t="n"/>
      <c r="AF44" s="31" t="n"/>
      <c r="AG44" s="31" t="n"/>
      <c r="AH44" s="31" t="n"/>
      <c r="AI44" s="31" t="n"/>
      <c r="AJ44" s="31" t="n"/>
      <c r="AK44" s="31" t="n"/>
      <c r="AL44" s="31" t="n"/>
      <c r="AM44" s="31" t="n"/>
      <c r="AN44" s="31" t="n"/>
      <c r="AO44" s="31" t="n"/>
      <c r="AP44" s="31" t="n"/>
      <c r="AQ44" s="31" t="n"/>
      <c r="AR44" s="31" t="n"/>
      <c r="AS44" s="31" t="n"/>
      <c r="AT44" s="31" t="n"/>
      <c r="AU44" s="31" t="n"/>
      <c r="AV44" s="31" t="n"/>
      <c r="AW44" s="31" t="n"/>
      <c r="AX44" s="31" t="n"/>
      <c r="AY44" s="31" t="n"/>
      <c r="AZ44" s="31" t="n"/>
      <c r="BA44" s="31" t="n"/>
      <c r="BB44" s="31" t="n"/>
      <c r="BC44" s="31" t="n"/>
      <c r="BD44" s="31" t="n"/>
      <c r="BE44" s="31" t="n"/>
      <c r="BF44" s="31" t="n"/>
      <c r="BG44" s="31" t="n"/>
      <c r="BH44" s="31" t="n"/>
      <c r="BI44" s="31" t="n"/>
      <c r="BJ44" s="31" t="n"/>
      <c r="BK44" s="31" t="n"/>
      <c r="BL44" s="31" t="n"/>
      <c r="BM44" s="31" t="n"/>
      <c r="BN44" s="31" t="n"/>
      <c r="BO44" s="31" t="n"/>
      <c r="BP44" s="31" t="n"/>
      <c r="BQ44" s="31" t="n"/>
      <c r="BR44" s="31" t="n"/>
      <c r="BS44" s="31" t="n"/>
      <c r="BT44" s="31" t="n"/>
      <c r="BU44" s="31" t="n"/>
      <c r="BV44" s="31" t="n"/>
      <c r="BW44" s="31" t="n"/>
      <c r="BX44" s="31" t="n"/>
      <c r="BY44" s="31" t="n"/>
      <c r="BZ44" s="31" t="n"/>
      <c r="CA44" s="31" t="n"/>
      <c r="CB44" s="31" t="n"/>
      <c r="CC44" s="31" t="n"/>
      <c r="CD44" s="31" t="n"/>
      <c r="CE44" s="31" t="n"/>
      <c r="CF44" s="31" t="n"/>
      <c r="CG44" s="31" t="n"/>
      <c r="CH44" s="31" t="n"/>
      <c r="CI44" s="31" t="n"/>
      <c r="CJ44" s="31" t="n"/>
      <c r="CK44" s="31" t="n"/>
      <c r="CL44" s="31" t="n"/>
      <c r="CM44" s="31" t="n"/>
      <c r="CN44" s="31" t="n"/>
      <c r="CO44" s="31" t="n"/>
      <c r="CP44" s="31" t="n"/>
      <c r="CQ44" s="31" t="n"/>
      <c r="CR44" s="31" t="n"/>
      <c r="CS44" s="31" t="n"/>
    </row>
    <row r="45">
      <c r="A45" s="32">
        <f>Plan!A37</f>
        <v/>
      </c>
      <c r="B45" s="33">
        <f>Plan!C37</f>
        <v/>
      </c>
      <c r="C45" s="16">
        <f>Plan!D37</f>
        <v/>
      </c>
      <c r="D45" s="16">
        <f>Plan!I37</f>
        <v/>
      </c>
      <c r="E45" s="16">
        <f>Plan!K37</f>
        <v/>
      </c>
      <c r="F45" s="16">
        <f>Plan!L37</f>
        <v/>
      </c>
      <c r="G45" s="16">
        <f>Plan!O37</f>
        <v/>
      </c>
      <c r="H45" s="34">
        <f>IF(AND(H$5&gt;$E45,H$5&lt;=$F45),IF(H$5=$E45+1,$C45,""),"")</f>
        <v/>
      </c>
      <c r="I45" s="34">
        <f>IF(AND(I$5&gt;$E45,I$5&lt;=$F45),IF(I$5=$E45+1,$C45,""),"")</f>
        <v/>
      </c>
      <c r="J45" s="34">
        <f>IF(AND(J$5&gt;$E45,J$5&lt;=$F45),IF(J$5=$E45+1,$C45,""),"")</f>
        <v/>
      </c>
      <c r="K45" s="34">
        <f>IF(AND(K$5&gt;$E45,K$5&lt;=$F45),IF(K$5=$E45+1,$C45,""),"")</f>
        <v/>
      </c>
      <c r="L45" s="34">
        <f>IF(AND(L$5&gt;$E45,L$5&lt;=$F45),IF(L$5=$E45+1,$C45,""),"")</f>
        <v/>
      </c>
      <c r="M45" s="34">
        <f>IF(AND(M$5&gt;$E45,M$5&lt;=$F45),IF(M$5=$E45+1,$C45,""),"")</f>
        <v/>
      </c>
      <c r="N45" s="34">
        <f>IF(AND(N$5&gt;$E45,N$5&lt;=$F45),IF(N$5=$E45+1,$C45,""),"")</f>
        <v/>
      </c>
      <c r="O45" s="34">
        <f>IF(AND(O$5&gt;$E45,O$5&lt;=$F45),IF(O$5=$E45+1,$C45,""),"")</f>
        <v/>
      </c>
      <c r="P45" s="34">
        <f>IF(AND(P$5&gt;$E45,P$5&lt;=$F45),IF(P$5=$E45+1,$C45,""),"")</f>
        <v/>
      </c>
      <c r="Q45" s="34">
        <f>IF(AND(Q$5&gt;$E45,Q$5&lt;=$F45),IF(Q$5=$E45+1,$C45,""),"")</f>
        <v/>
      </c>
      <c r="R45" s="34">
        <f>IF(AND(R$5&gt;$E45,R$5&lt;=$F45),IF(R$5=$E45+1,$C45,""),"")</f>
        <v/>
      </c>
      <c r="S45" s="34">
        <f>IF(AND(S$5&gt;$E45,S$5&lt;=$F45),IF(S$5=$E45+1,$C45,""),"")</f>
        <v/>
      </c>
      <c r="T45" s="34">
        <f>IF(AND(T$5&gt;$E45,T$5&lt;=$F45),IF(T$5=$E45+1,$C45,""),"")</f>
        <v/>
      </c>
      <c r="U45" s="34">
        <f>IF(AND(U$5&gt;$E45,U$5&lt;=$F45),IF(U$5=$E45+1,$C45,""),"")</f>
        <v/>
      </c>
      <c r="V45" s="34">
        <f>IF(AND(V$5&gt;$E45,V$5&lt;=$F45),IF(V$5=$E45+1,$C45,""),"")</f>
        <v/>
      </c>
      <c r="W45" s="34">
        <f>IF(AND(W$5&gt;$E45,W$5&lt;=$F45),IF(W$5=$E45+1,$C45,""),"")</f>
        <v/>
      </c>
      <c r="X45" s="34">
        <f>IF(AND(X$5&gt;$E45,X$5&lt;=$F45),IF(X$5=$E45+1,$C45,""),"")</f>
        <v/>
      </c>
      <c r="Y45" s="34">
        <f>IF(AND(Y$5&gt;$E45,Y$5&lt;=$F45),IF(Y$5=$E45+1,$C45,""),"")</f>
        <v/>
      </c>
      <c r="Z45" s="34">
        <f>IF(AND(Z$5&gt;$E45,Z$5&lt;=$F45),IF(Z$5=$E45+1,$C45,""),"")</f>
        <v/>
      </c>
      <c r="AA45" s="34">
        <f>IF(AND(AA$5&gt;$E45,AA$5&lt;=$F45),IF(AA$5=$E45+1,$C45,""),"")</f>
        <v/>
      </c>
      <c r="AB45" s="34">
        <f>IF(AND(AB$5&gt;$E45,AB$5&lt;=$F45),IF(AB$5=$E45+1,$C45,""),"")</f>
        <v/>
      </c>
      <c r="AC45" s="34">
        <f>IF(AND(AC$5&gt;$E45,AC$5&lt;=$F45),IF(AC$5=$E45+1,$C45,""),"")</f>
        <v/>
      </c>
      <c r="AD45" s="34">
        <f>IF(AND(AD$5&gt;$E45,AD$5&lt;=$F45),IF(AD$5=$E45+1,$C45,""),"")</f>
        <v/>
      </c>
      <c r="AE45" s="34">
        <f>IF(AND(AE$5&gt;$E45,AE$5&lt;=$F45),IF(AE$5=$E45+1,$C45,""),"")</f>
        <v/>
      </c>
      <c r="AF45" s="34">
        <f>IF(AND(AF$5&gt;$E45,AF$5&lt;=$F45),IF(AF$5=$E45+1,$C45,""),"")</f>
        <v/>
      </c>
      <c r="AG45" s="34">
        <f>IF(AND(AG$5&gt;$E45,AG$5&lt;=$F45),IF(AG$5=$E45+1,$C45,""),"")</f>
        <v/>
      </c>
      <c r="AH45" s="34">
        <f>IF(AND(AH$5&gt;$E45,AH$5&lt;=$F45),IF(AH$5=$E45+1,$C45,""),"")</f>
        <v/>
      </c>
      <c r="AI45" s="34">
        <f>IF(AND(AI$5&gt;$E45,AI$5&lt;=$F45),IF(AI$5=$E45+1,$C45,""),"")</f>
        <v/>
      </c>
      <c r="AJ45" s="34">
        <f>IF(AND(AJ$5&gt;$E45,AJ$5&lt;=$F45),IF(AJ$5=$E45+1,$C45,""),"")</f>
        <v/>
      </c>
      <c r="AK45" s="34">
        <f>IF(AND(AK$5&gt;$E45,AK$5&lt;=$F45),IF(AK$5=$E45+1,$C45,""),"")</f>
        <v/>
      </c>
      <c r="AL45" s="34">
        <f>IF(AND(AL$5&gt;$E45,AL$5&lt;=$F45),IF(AL$5=$E45+1,$C45,""),"")</f>
        <v/>
      </c>
      <c r="AM45" s="34">
        <f>IF(AND(AM$5&gt;$E45,AM$5&lt;=$F45),IF(AM$5=$E45+1,$C45,""),"")</f>
        <v/>
      </c>
      <c r="AN45" s="34">
        <f>IF(AND(AN$5&gt;$E45,AN$5&lt;=$F45),IF(AN$5=$E45+1,$C45,""),"")</f>
        <v/>
      </c>
      <c r="AO45" s="34">
        <f>IF(AND(AO$5&gt;$E45,AO$5&lt;=$F45),IF(AO$5=$E45+1,$C45,""),"")</f>
        <v/>
      </c>
      <c r="AP45" s="34">
        <f>IF(AND(AP$5&gt;$E45,AP$5&lt;=$F45),IF(AP$5=$E45+1,$C45,""),"")</f>
        <v/>
      </c>
      <c r="AQ45" s="34">
        <f>IF(AND(AQ$5&gt;$E45,AQ$5&lt;=$F45),IF(AQ$5=$E45+1,$C45,""),"")</f>
        <v/>
      </c>
      <c r="AR45" s="34">
        <f>IF(AND(AR$5&gt;$E45,AR$5&lt;=$F45),IF(AR$5=$E45+1,$C45,""),"")</f>
        <v/>
      </c>
      <c r="AS45" s="34">
        <f>IF(AND(AS$5&gt;$E45,AS$5&lt;=$F45),IF(AS$5=$E45+1,$C45,""),"")</f>
        <v/>
      </c>
      <c r="AT45" s="34">
        <f>IF(AND(AT$5&gt;$E45,AT$5&lt;=$F45),IF(AT$5=$E45+1,$C45,""),"")</f>
        <v/>
      </c>
      <c r="AU45" s="34">
        <f>IF(AND(AU$5&gt;$E45,AU$5&lt;=$F45),IF(AU$5=$E45+1,$C45,""),"")</f>
        <v/>
      </c>
      <c r="AV45" s="34">
        <f>IF(AND(AV$5&gt;$E45,AV$5&lt;=$F45),IF(AV$5=$E45+1,$C45,""),"")</f>
        <v/>
      </c>
      <c r="AW45" s="34">
        <f>IF(AND(AW$5&gt;$E45,AW$5&lt;=$F45),IF(AW$5=$E45+1,$C45,""),"")</f>
        <v/>
      </c>
      <c r="AX45" s="34">
        <f>IF(AND(AX$5&gt;$E45,AX$5&lt;=$F45),IF(AX$5=$E45+1,$C45,""),"")</f>
        <v/>
      </c>
      <c r="AY45" s="34">
        <f>IF(AND(AY$5&gt;$E45,AY$5&lt;=$F45),IF(AY$5=$E45+1,$C45,""),"")</f>
        <v/>
      </c>
      <c r="AZ45" s="34">
        <f>IF(AND(AZ$5&gt;$E45,AZ$5&lt;=$F45),IF(AZ$5=$E45+1,$C45,""),"")</f>
        <v/>
      </c>
      <c r="BA45" s="34">
        <f>IF(AND(BA$5&gt;$E45,BA$5&lt;=$F45),IF(BA$5=$E45+1,$C45,""),"")</f>
        <v/>
      </c>
      <c r="BB45" s="34">
        <f>IF(AND(BB$5&gt;$E45,BB$5&lt;=$F45),IF(BB$5=$E45+1,$C45,""),"")</f>
        <v/>
      </c>
      <c r="BC45" s="34">
        <f>IF(AND(BC$5&gt;$E45,BC$5&lt;=$F45),IF(BC$5=$E45+1,$C45,""),"")</f>
        <v/>
      </c>
      <c r="BD45" s="34">
        <f>IF(AND(BD$5&gt;$E45,BD$5&lt;=$F45),IF(BD$5=$E45+1,$C45,""),"")</f>
        <v/>
      </c>
      <c r="BE45" s="34">
        <f>IF(AND(BE$5&gt;$E45,BE$5&lt;=$F45),IF(BE$5=$E45+1,$C45,""),"")</f>
        <v/>
      </c>
      <c r="BF45" s="34">
        <f>IF(AND(BF$5&gt;$E45,BF$5&lt;=$F45),IF(BF$5=$E45+1,$C45,""),"")</f>
        <v/>
      </c>
      <c r="BG45" s="34">
        <f>IF(AND(BG$5&gt;$E45,BG$5&lt;=$F45),IF(BG$5=$E45+1,$C45,""),"")</f>
        <v/>
      </c>
      <c r="BH45" s="34">
        <f>IF(AND(BH$5&gt;$E45,BH$5&lt;=$F45),IF(BH$5=$E45+1,$C45,""),"")</f>
        <v/>
      </c>
      <c r="BI45" s="34">
        <f>IF(AND(BI$5&gt;$E45,BI$5&lt;=$F45),IF(BI$5=$E45+1,$C45,""),"")</f>
        <v/>
      </c>
      <c r="BJ45" s="34">
        <f>IF(AND(BJ$5&gt;$E45,BJ$5&lt;=$F45),IF(BJ$5=$E45+1,$C45,""),"")</f>
        <v/>
      </c>
      <c r="BK45" s="34">
        <f>IF(AND(BK$5&gt;$E45,BK$5&lt;=$F45),IF(BK$5=$E45+1,$C45,""),"")</f>
        <v/>
      </c>
      <c r="BL45" s="34">
        <f>IF(AND(BL$5&gt;$E45,BL$5&lt;=$F45),IF(BL$5=$E45+1,$C45,""),"")</f>
        <v/>
      </c>
      <c r="BM45" s="34">
        <f>IF(AND(BM$5&gt;$E45,BM$5&lt;=$F45),IF(BM$5=$E45+1,$C45,""),"")</f>
        <v/>
      </c>
      <c r="BN45" s="34">
        <f>IF(AND(BN$5&gt;$E45,BN$5&lt;=$F45),IF(BN$5=$E45+1,$C45,""),"")</f>
        <v/>
      </c>
      <c r="BO45" s="34">
        <f>IF(AND(BO$5&gt;$E45,BO$5&lt;=$F45),IF(BO$5=$E45+1,$C45,""),"")</f>
        <v/>
      </c>
      <c r="BP45" s="34">
        <f>IF(AND(BP$5&gt;$E45,BP$5&lt;=$F45),IF(BP$5=$E45+1,$C45,""),"")</f>
        <v/>
      </c>
      <c r="BQ45" s="34">
        <f>IF(AND(BQ$5&gt;$E45,BQ$5&lt;=$F45),IF(BQ$5=$E45+1,$C45,""),"")</f>
        <v/>
      </c>
      <c r="BR45" s="34">
        <f>IF(AND(BR$5&gt;$E45,BR$5&lt;=$F45),IF(BR$5=$E45+1,$C45,""),"")</f>
        <v/>
      </c>
      <c r="BS45" s="34">
        <f>IF(AND(BS$5&gt;$E45,BS$5&lt;=$F45),IF(BS$5=$E45+1,$C45,""),"")</f>
        <v/>
      </c>
      <c r="BT45" s="34">
        <f>IF(AND(BT$5&gt;$E45,BT$5&lt;=$F45),IF(BT$5=$E45+1,$C45,""),"")</f>
        <v/>
      </c>
      <c r="BU45" s="34">
        <f>IF(AND(BU$5&gt;$E45,BU$5&lt;=$F45),IF(BU$5=$E45+1,$C45,""),"")</f>
        <v/>
      </c>
      <c r="BV45" s="34">
        <f>IF(AND(BV$5&gt;$E45,BV$5&lt;=$F45),IF(BV$5=$E45+1,$C45,""),"")</f>
        <v/>
      </c>
      <c r="BW45" s="34">
        <f>IF(AND(BW$5&gt;$E45,BW$5&lt;=$F45),IF(BW$5=$E45+1,$C45,""),"")</f>
        <v/>
      </c>
      <c r="BX45" s="34">
        <f>IF(AND(BX$5&gt;$E45,BX$5&lt;=$F45),IF(BX$5=$E45+1,$C45,""),"")</f>
        <v/>
      </c>
      <c r="BY45" s="34">
        <f>IF(AND(BY$5&gt;$E45,BY$5&lt;=$F45),IF(BY$5=$E45+1,$C45,""),"")</f>
        <v/>
      </c>
      <c r="BZ45" s="34">
        <f>IF(AND(BZ$5&gt;$E45,BZ$5&lt;=$F45),IF(BZ$5=$E45+1,$C45,""),"")</f>
        <v/>
      </c>
      <c r="CA45" s="34">
        <f>IF(AND(CA$5&gt;$E45,CA$5&lt;=$F45),IF(CA$5=$E45+1,$C45,""),"")</f>
        <v/>
      </c>
      <c r="CB45" s="34">
        <f>IF(AND(CB$5&gt;$E45,CB$5&lt;=$F45),IF(CB$5=$E45+1,$C45,""),"")</f>
        <v/>
      </c>
      <c r="CC45" s="34">
        <f>IF(AND(CC$5&gt;$E45,CC$5&lt;=$F45),IF(CC$5=$E45+1,$C45,""),"")</f>
        <v/>
      </c>
      <c r="CD45" s="34">
        <f>IF(AND(CD$5&gt;$E45,CD$5&lt;=$F45),IF(CD$5=$E45+1,$C45,""),"")</f>
        <v/>
      </c>
      <c r="CE45" s="34">
        <f>IF(AND(CE$5&gt;$E45,CE$5&lt;=$F45),IF(CE$5=$E45+1,$C45,""),"")</f>
        <v/>
      </c>
      <c r="CF45" s="34">
        <f>IF(AND(CF$5&gt;$E45,CF$5&lt;=$F45),IF(CF$5=$E45+1,$C45,""),"")</f>
        <v/>
      </c>
      <c r="CG45" s="34">
        <f>IF(AND(CG$5&gt;$E45,CG$5&lt;=$F45),IF(CG$5=$E45+1,$C45,""),"")</f>
        <v/>
      </c>
      <c r="CH45" s="34">
        <f>IF(AND(CH$5&gt;$E45,CH$5&lt;=$F45),IF(CH$5=$E45+1,$C45,""),"")</f>
        <v/>
      </c>
      <c r="CI45" s="34">
        <f>IF(AND(CI$5&gt;$E45,CI$5&lt;=$F45),IF(CI$5=$E45+1,$C45,""),"")</f>
        <v/>
      </c>
      <c r="CJ45" s="34">
        <f>IF(AND(CJ$5&gt;$E45,CJ$5&lt;=$F45),IF(CJ$5=$E45+1,$C45,""),"")</f>
        <v/>
      </c>
      <c r="CK45" s="34">
        <f>IF(AND(CK$5&gt;$E45,CK$5&lt;=$F45),IF(CK$5=$E45+1,$C45,""),"")</f>
        <v/>
      </c>
      <c r="CL45" s="34">
        <f>IF(AND(CL$5&gt;$E45,CL$5&lt;=$F45),IF(CL$5=$E45+1,$C45,""),"")</f>
        <v/>
      </c>
      <c r="CM45" s="34">
        <f>IF(AND(CM$5&gt;$E45,CM$5&lt;=$F45),IF(CM$5=$E45+1,$C45,""),"")</f>
        <v/>
      </c>
      <c r="CN45" s="34">
        <f>IF(AND(CN$5&gt;$E45,CN$5&lt;=$F45),IF(CN$5=$E45+1,$C45,""),"")</f>
        <v/>
      </c>
      <c r="CO45" s="34">
        <f>IF(AND(CO$5&gt;$E45,CO$5&lt;=$F45),IF(CO$5=$E45+1,$C45,""),"")</f>
        <v/>
      </c>
      <c r="CP45" s="34">
        <f>IF(AND(CP$5&gt;$E45,CP$5&lt;=$F45),IF(CP$5=$E45+1,$C45,""),"")</f>
        <v/>
      </c>
      <c r="CQ45" s="34">
        <f>IF(AND(CQ$5&gt;$E45,CQ$5&lt;=$F45),IF(CQ$5=$E45+1,$C45,""),"")</f>
        <v/>
      </c>
      <c r="CR45" s="34">
        <f>IF(AND(CR$5&gt;$E45,CR$5&lt;=$F45),IF(CR$5=$E45+1,$C45,""),"")</f>
        <v/>
      </c>
      <c r="CS45" s="34">
        <f>IF(AND(CS$5&gt;$E45,CS$5&lt;=$F45),IF(CS$5=$E45+1,$C45,""),"")</f>
        <v/>
      </c>
    </row>
    <row r="46">
      <c r="A46" s="32">
        <f>Plan!A38</f>
        <v/>
      </c>
      <c r="B46" s="33">
        <f>Plan!C38</f>
        <v/>
      </c>
      <c r="C46" s="16">
        <f>Plan!D38</f>
        <v/>
      </c>
      <c r="D46" s="16">
        <f>Plan!I38</f>
        <v/>
      </c>
      <c r="E46" s="16">
        <f>Plan!K38</f>
        <v/>
      </c>
      <c r="F46" s="16">
        <f>Plan!L38</f>
        <v/>
      </c>
      <c r="G46" s="16">
        <f>Plan!O38</f>
        <v/>
      </c>
      <c r="H46" s="34">
        <f>IF(AND(H$5&gt;$E46,H$5&lt;=$F46),IF(H$5=$E46+1,$C46,""),"")</f>
        <v/>
      </c>
      <c r="I46" s="34">
        <f>IF(AND(I$5&gt;$E46,I$5&lt;=$F46),IF(I$5=$E46+1,$C46,""),"")</f>
        <v/>
      </c>
      <c r="J46" s="34">
        <f>IF(AND(J$5&gt;$E46,J$5&lt;=$F46),IF(J$5=$E46+1,$C46,""),"")</f>
        <v/>
      </c>
      <c r="K46" s="34">
        <f>IF(AND(K$5&gt;$E46,K$5&lt;=$F46),IF(K$5=$E46+1,$C46,""),"")</f>
        <v/>
      </c>
      <c r="L46" s="34">
        <f>IF(AND(L$5&gt;$E46,L$5&lt;=$F46),IF(L$5=$E46+1,$C46,""),"")</f>
        <v/>
      </c>
      <c r="M46" s="34">
        <f>IF(AND(M$5&gt;$E46,M$5&lt;=$F46),IF(M$5=$E46+1,$C46,""),"")</f>
        <v/>
      </c>
      <c r="N46" s="34">
        <f>IF(AND(N$5&gt;$E46,N$5&lt;=$F46),IF(N$5=$E46+1,$C46,""),"")</f>
        <v/>
      </c>
      <c r="O46" s="34">
        <f>IF(AND(O$5&gt;$E46,O$5&lt;=$F46),IF(O$5=$E46+1,$C46,""),"")</f>
        <v/>
      </c>
      <c r="P46" s="34">
        <f>IF(AND(P$5&gt;$E46,P$5&lt;=$F46),IF(P$5=$E46+1,$C46,""),"")</f>
        <v/>
      </c>
      <c r="Q46" s="34">
        <f>IF(AND(Q$5&gt;$E46,Q$5&lt;=$F46),IF(Q$5=$E46+1,$C46,""),"")</f>
        <v/>
      </c>
      <c r="R46" s="34">
        <f>IF(AND(R$5&gt;$E46,R$5&lt;=$F46),IF(R$5=$E46+1,$C46,""),"")</f>
        <v/>
      </c>
      <c r="S46" s="34">
        <f>IF(AND(S$5&gt;$E46,S$5&lt;=$F46),IF(S$5=$E46+1,$C46,""),"")</f>
        <v/>
      </c>
      <c r="T46" s="34">
        <f>IF(AND(T$5&gt;$E46,T$5&lt;=$F46),IF(T$5=$E46+1,$C46,""),"")</f>
        <v/>
      </c>
      <c r="U46" s="34">
        <f>IF(AND(U$5&gt;$E46,U$5&lt;=$F46),IF(U$5=$E46+1,$C46,""),"")</f>
        <v/>
      </c>
      <c r="V46" s="34">
        <f>IF(AND(V$5&gt;$E46,V$5&lt;=$F46),IF(V$5=$E46+1,$C46,""),"")</f>
        <v/>
      </c>
      <c r="W46" s="34">
        <f>IF(AND(W$5&gt;$E46,W$5&lt;=$F46),IF(W$5=$E46+1,$C46,""),"")</f>
        <v/>
      </c>
      <c r="X46" s="34">
        <f>IF(AND(X$5&gt;$E46,X$5&lt;=$F46),IF(X$5=$E46+1,$C46,""),"")</f>
        <v/>
      </c>
      <c r="Y46" s="34">
        <f>IF(AND(Y$5&gt;$E46,Y$5&lt;=$F46),IF(Y$5=$E46+1,$C46,""),"")</f>
        <v/>
      </c>
      <c r="Z46" s="34">
        <f>IF(AND(Z$5&gt;$E46,Z$5&lt;=$F46),IF(Z$5=$E46+1,$C46,""),"")</f>
        <v/>
      </c>
      <c r="AA46" s="34">
        <f>IF(AND(AA$5&gt;$E46,AA$5&lt;=$F46),IF(AA$5=$E46+1,$C46,""),"")</f>
        <v/>
      </c>
      <c r="AB46" s="34">
        <f>IF(AND(AB$5&gt;$E46,AB$5&lt;=$F46),IF(AB$5=$E46+1,$C46,""),"")</f>
        <v/>
      </c>
      <c r="AC46" s="34">
        <f>IF(AND(AC$5&gt;$E46,AC$5&lt;=$F46),IF(AC$5=$E46+1,$C46,""),"")</f>
        <v/>
      </c>
      <c r="AD46" s="34">
        <f>IF(AND(AD$5&gt;$E46,AD$5&lt;=$F46),IF(AD$5=$E46+1,$C46,""),"")</f>
        <v/>
      </c>
      <c r="AE46" s="34">
        <f>IF(AND(AE$5&gt;$E46,AE$5&lt;=$F46),IF(AE$5=$E46+1,$C46,""),"")</f>
        <v/>
      </c>
      <c r="AF46" s="34">
        <f>IF(AND(AF$5&gt;$E46,AF$5&lt;=$F46),IF(AF$5=$E46+1,$C46,""),"")</f>
        <v/>
      </c>
      <c r="AG46" s="34">
        <f>IF(AND(AG$5&gt;$E46,AG$5&lt;=$F46),IF(AG$5=$E46+1,$C46,""),"")</f>
        <v/>
      </c>
      <c r="AH46" s="34">
        <f>IF(AND(AH$5&gt;$E46,AH$5&lt;=$F46),IF(AH$5=$E46+1,$C46,""),"")</f>
        <v/>
      </c>
      <c r="AI46" s="34">
        <f>IF(AND(AI$5&gt;$E46,AI$5&lt;=$F46),IF(AI$5=$E46+1,$C46,""),"")</f>
        <v/>
      </c>
      <c r="AJ46" s="34">
        <f>IF(AND(AJ$5&gt;$E46,AJ$5&lt;=$F46),IF(AJ$5=$E46+1,$C46,""),"")</f>
        <v/>
      </c>
      <c r="AK46" s="34">
        <f>IF(AND(AK$5&gt;$E46,AK$5&lt;=$F46),IF(AK$5=$E46+1,$C46,""),"")</f>
        <v/>
      </c>
      <c r="AL46" s="34">
        <f>IF(AND(AL$5&gt;$E46,AL$5&lt;=$F46),IF(AL$5=$E46+1,$C46,""),"")</f>
        <v/>
      </c>
      <c r="AM46" s="34">
        <f>IF(AND(AM$5&gt;$E46,AM$5&lt;=$F46),IF(AM$5=$E46+1,$C46,""),"")</f>
        <v/>
      </c>
      <c r="AN46" s="34">
        <f>IF(AND(AN$5&gt;$E46,AN$5&lt;=$F46),IF(AN$5=$E46+1,$C46,""),"")</f>
        <v/>
      </c>
      <c r="AO46" s="34">
        <f>IF(AND(AO$5&gt;$E46,AO$5&lt;=$F46),IF(AO$5=$E46+1,$C46,""),"")</f>
        <v/>
      </c>
      <c r="AP46" s="34">
        <f>IF(AND(AP$5&gt;$E46,AP$5&lt;=$F46),IF(AP$5=$E46+1,$C46,""),"")</f>
        <v/>
      </c>
      <c r="AQ46" s="34">
        <f>IF(AND(AQ$5&gt;$E46,AQ$5&lt;=$F46),IF(AQ$5=$E46+1,$C46,""),"")</f>
        <v/>
      </c>
      <c r="AR46" s="34">
        <f>IF(AND(AR$5&gt;$E46,AR$5&lt;=$F46),IF(AR$5=$E46+1,$C46,""),"")</f>
        <v/>
      </c>
      <c r="AS46" s="34">
        <f>IF(AND(AS$5&gt;$E46,AS$5&lt;=$F46),IF(AS$5=$E46+1,$C46,""),"")</f>
        <v/>
      </c>
      <c r="AT46" s="34">
        <f>IF(AND(AT$5&gt;$E46,AT$5&lt;=$F46),IF(AT$5=$E46+1,$C46,""),"")</f>
        <v/>
      </c>
      <c r="AU46" s="34">
        <f>IF(AND(AU$5&gt;$E46,AU$5&lt;=$F46),IF(AU$5=$E46+1,$C46,""),"")</f>
        <v/>
      </c>
      <c r="AV46" s="34">
        <f>IF(AND(AV$5&gt;$E46,AV$5&lt;=$F46),IF(AV$5=$E46+1,$C46,""),"")</f>
        <v/>
      </c>
      <c r="AW46" s="34">
        <f>IF(AND(AW$5&gt;$E46,AW$5&lt;=$F46),IF(AW$5=$E46+1,$C46,""),"")</f>
        <v/>
      </c>
      <c r="AX46" s="34">
        <f>IF(AND(AX$5&gt;$E46,AX$5&lt;=$F46),IF(AX$5=$E46+1,$C46,""),"")</f>
        <v/>
      </c>
      <c r="AY46" s="34">
        <f>IF(AND(AY$5&gt;$E46,AY$5&lt;=$F46),IF(AY$5=$E46+1,$C46,""),"")</f>
        <v/>
      </c>
      <c r="AZ46" s="34">
        <f>IF(AND(AZ$5&gt;$E46,AZ$5&lt;=$F46),IF(AZ$5=$E46+1,$C46,""),"")</f>
        <v/>
      </c>
      <c r="BA46" s="34">
        <f>IF(AND(BA$5&gt;$E46,BA$5&lt;=$F46),IF(BA$5=$E46+1,$C46,""),"")</f>
        <v/>
      </c>
      <c r="BB46" s="34">
        <f>IF(AND(BB$5&gt;$E46,BB$5&lt;=$F46),IF(BB$5=$E46+1,$C46,""),"")</f>
        <v/>
      </c>
      <c r="BC46" s="34">
        <f>IF(AND(BC$5&gt;$E46,BC$5&lt;=$F46),IF(BC$5=$E46+1,$C46,""),"")</f>
        <v/>
      </c>
      <c r="BD46" s="34">
        <f>IF(AND(BD$5&gt;$E46,BD$5&lt;=$F46),IF(BD$5=$E46+1,$C46,""),"")</f>
        <v/>
      </c>
      <c r="BE46" s="34">
        <f>IF(AND(BE$5&gt;$E46,BE$5&lt;=$F46),IF(BE$5=$E46+1,$C46,""),"")</f>
        <v/>
      </c>
      <c r="BF46" s="34">
        <f>IF(AND(BF$5&gt;$E46,BF$5&lt;=$F46),IF(BF$5=$E46+1,$C46,""),"")</f>
        <v/>
      </c>
      <c r="BG46" s="34">
        <f>IF(AND(BG$5&gt;$E46,BG$5&lt;=$F46),IF(BG$5=$E46+1,$C46,""),"")</f>
        <v/>
      </c>
      <c r="BH46" s="34">
        <f>IF(AND(BH$5&gt;$E46,BH$5&lt;=$F46),IF(BH$5=$E46+1,$C46,""),"")</f>
        <v/>
      </c>
      <c r="BI46" s="34">
        <f>IF(AND(BI$5&gt;$E46,BI$5&lt;=$F46),IF(BI$5=$E46+1,$C46,""),"")</f>
        <v/>
      </c>
      <c r="BJ46" s="34">
        <f>IF(AND(BJ$5&gt;$E46,BJ$5&lt;=$F46),IF(BJ$5=$E46+1,$C46,""),"")</f>
        <v/>
      </c>
      <c r="BK46" s="34">
        <f>IF(AND(BK$5&gt;$E46,BK$5&lt;=$F46),IF(BK$5=$E46+1,$C46,""),"")</f>
        <v/>
      </c>
      <c r="BL46" s="34">
        <f>IF(AND(BL$5&gt;$E46,BL$5&lt;=$F46),IF(BL$5=$E46+1,$C46,""),"")</f>
        <v/>
      </c>
      <c r="BM46" s="34">
        <f>IF(AND(BM$5&gt;$E46,BM$5&lt;=$F46),IF(BM$5=$E46+1,$C46,""),"")</f>
        <v/>
      </c>
      <c r="BN46" s="34">
        <f>IF(AND(BN$5&gt;$E46,BN$5&lt;=$F46),IF(BN$5=$E46+1,$C46,""),"")</f>
        <v/>
      </c>
      <c r="BO46" s="34">
        <f>IF(AND(BO$5&gt;$E46,BO$5&lt;=$F46),IF(BO$5=$E46+1,$C46,""),"")</f>
        <v/>
      </c>
      <c r="BP46" s="34">
        <f>IF(AND(BP$5&gt;$E46,BP$5&lt;=$F46),IF(BP$5=$E46+1,$C46,""),"")</f>
        <v/>
      </c>
      <c r="BQ46" s="34">
        <f>IF(AND(BQ$5&gt;$E46,BQ$5&lt;=$F46),IF(BQ$5=$E46+1,$C46,""),"")</f>
        <v/>
      </c>
      <c r="BR46" s="34">
        <f>IF(AND(BR$5&gt;$E46,BR$5&lt;=$F46),IF(BR$5=$E46+1,$C46,""),"")</f>
        <v/>
      </c>
      <c r="BS46" s="34">
        <f>IF(AND(BS$5&gt;$E46,BS$5&lt;=$F46),IF(BS$5=$E46+1,$C46,""),"")</f>
        <v/>
      </c>
      <c r="BT46" s="34">
        <f>IF(AND(BT$5&gt;$E46,BT$5&lt;=$F46),IF(BT$5=$E46+1,$C46,""),"")</f>
        <v/>
      </c>
      <c r="BU46" s="34">
        <f>IF(AND(BU$5&gt;$E46,BU$5&lt;=$F46),IF(BU$5=$E46+1,$C46,""),"")</f>
        <v/>
      </c>
      <c r="BV46" s="34">
        <f>IF(AND(BV$5&gt;$E46,BV$5&lt;=$F46),IF(BV$5=$E46+1,$C46,""),"")</f>
        <v/>
      </c>
      <c r="BW46" s="34">
        <f>IF(AND(BW$5&gt;$E46,BW$5&lt;=$F46),IF(BW$5=$E46+1,$C46,""),"")</f>
        <v/>
      </c>
      <c r="BX46" s="34">
        <f>IF(AND(BX$5&gt;$E46,BX$5&lt;=$F46),IF(BX$5=$E46+1,$C46,""),"")</f>
        <v/>
      </c>
      <c r="BY46" s="34">
        <f>IF(AND(BY$5&gt;$E46,BY$5&lt;=$F46),IF(BY$5=$E46+1,$C46,""),"")</f>
        <v/>
      </c>
      <c r="BZ46" s="34">
        <f>IF(AND(BZ$5&gt;$E46,BZ$5&lt;=$F46),IF(BZ$5=$E46+1,$C46,""),"")</f>
        <v/>
      </c>
      <c r="CA46" s="34">
        <f>IF(AND(CA$5&gt;$E46,CA$5&lt;=$F46),IF(CA$5=$E46+1,$C46,""),"")</f>
        <v/>
      </c>
      <c r="CB46" s="34">
        <f>IF(AND(CB$5&gt;$E46,CB$5&lt;=$F46),IF(CB$5=$E46+1,$C46,""),"")</f>
        <v/>
      </c>
      <c r="CC46" s="34">
        <f>IF(AND(CC$5&gt;$E46,CC$5&lt;=$F46),IF(CC$5=$E46+1,$C46,""),"")</f>
        <v/>
      </c>
      <c r="CD46" s="34">
        <f>IF(AND(CD$5&gt;$E46,CD$5&lt;=$F46),IF(CD$5=$E46+1,$C46,""),"")</f>
        <v/>
      </c>
      <c r="CE46" s="34">
        <f>IF(AND(CE$5&gt;$E46,CE$5&lt;=$F46),IF(CE$5=$E46+1,$C46,""),"")</f>
        <v/>
      </c>
      <c r="CF46" s="34">
        <f>IF(AND(CF$5&gt;$E46,CF$5&lt;=$F46),IF(CF$5=$E46+1,$C46,""),"")</f>
        <v/>
      </c>
      <c r="CG46" s="34">
        <f>IF(AND(CG$5&gt;$E46,CG$5&lt;=$F46),IF(CG$5=$E46+1,$C46,""),"")</f>
        <v/>
      </c>
      <c r="CH46" s="34">
        <f>IF(AND(CH$5&gt;$E46,CH$5&lt;=$F46),IF(CH$5=$E46+1,$C46,""),"")</f>
        <v/>
      </c>
      <c r="CI46" s="34">
        <f>IF(AND(CI$5&gt;$E46,CI$5&lt;=$F46),IF(CI$5=$E46+1,$C46,""),"")</f>
        <v/>
      </c>
      <c r="CJ46" s="34">
        <f>IF(AND(CJ$5&gt;$E46,CJ$5&lt;=$F46),IF(CJ$5=$E46+1,$C46,""),"")</f>
        <v/>
      </c>
      <c r="CK46" s="34">
        <f>IF(AND(CK$5&gt;$E46,CK$5&lt;=$F46),IF(CK$5=$E46+1,$C46,""),"")</f>
        <v/>
      </c>
      <c r="CL46" s="34">
        <f>IF(AND(CL$5&gt;$E46,CL$5&lt;=$F46),IF(CL$5=$E46+1,$C46,""),"")</f>
        <v/>
      </c>
      <c r="CM46" s="34">
        <f>IF(AND(CM$5&gt;$E46,CM$5&lt;=$F46),IF(CM$5=$E46+1,$C46,""),"")</f>
        <v/>
      </c>
      <c r="CN46" s="34">
        <f>IF(AND(CN$5&gt;$E46,CN$5&lt;=$F46),IF(CN$5=$E46+1,$C46,""),"")</f>
        <v/>
      </c>
      <c r="CO46" s="34">
        <f>IF(AND(CO$5&gt;$E46,CO$5&lt;=$F46),IF(CO$5=$E46+1,$C46,""),"")</f>
        <v/>
      </c>
      <c r="CP46" s="34">
        <f>IF(AND(CP$5&gt;$E46,CP$5&lt;=$F46),IF(CP$5=$E46+1,$C46,""),"")</f>
        <v/>
      </c>
      <c r="CQ46" s="34">
        <f>IF(AND(CQ$5&gt;$E46,CQ$5&lt;=$F46),IF(CQ$5=$E46+1,$C46,""),"")</f>
        <v/>
      </c>
      <c r="CR46" s="34">
        <f>IF(AND(CR$5&gt;$E46,CR$5&lt;=$F46),IF(CR$5=$E46+1,$C46,""),"")</f>
        <v/>
      </c>
      <c r="CS46" s="34">
        <f>IF(AND(CS$5&gt;$E46,CS$5&lt;=$F46),IF(CS$5=$E46+1,$C46,""),"")</f>
        <v/>
      </c>
    </row>
    <row r="47">
      <c r="A47" s="32">
        <f>Plan!A39</f>
        <v/>
      </c>
      <c r="B47" s="33">
        <f>Plan!C39</f>
        <v/>
      </c>
      <c r="C47" s="16">
        <f>Plan!D39</f>
        <v/>
      </c>
      <c r="D47" s="16">
        <f>Plan!I39</f>
        <v/>
      </c>
      <c r="E47" s="16">
        <f>Plan!K39</f>
        <v/>
      </c>
      <c r="F47" s="16">
        <f>Plan!L39</f>
        <v/>
      </c>
      <c r="G47" s="16">
        <f>Plan!O39</f>
        <v/>
      </c>
      <c r="H47" s="34">
        <f>IF(AND(H$5&gt;$E47,H$5&lt;=$F47),IF(H$5=$E47+1,$C47,""),"")</f>
        <v/>
      </c>
      <c r="I47" s="34">
        <f>IF(AND(I$5&gt;$E47,I$5&lt;=$F47),IF(I$5=$E47+1,$C47,""),"")</f>
        <v/>
      </c>
      <c r="J47" s="34">
        <f>IF(AND(J$5&gt;$E47,J$5&lt;=$F47),IF(J$5=$E47+1,$C47,""),"")</f>
        <v/>
      </c>
      <c r="K47" s="34">
        <f>IF(AND(K$5&gt;$E47,K$5&lt;=$F47),IF(K$5=$E47+1,$C47,""),"")</f>
        <v/>
      </c>
      <c r="L47" s="34">
        <f>IF(AND(L$5&gt;$E47,L$5&lt;=$F47),IF(L$5=$E47+1,$C47,""),"")</f>
        <v/>
      </c>
      <c r="M47" s="34">
        <f>IF(AND(M$5&gt;$E47,M$5&lt;=$F47),IF(M$5=$E47+1,$C47,""),"")</f>
        <v/>
      </c>
      <c r="N47" s="34">
        <f>IF(AND(N$5&gt;$E47,N$5&lt;=$F47),IF(N$5=$E47+1,$C47,""),"")</f>
        <v/>
      </c>
      <c r="O47" s="34">
        <f>IF(AND(O$5&gt;$E47,O$5&lt;=$F47),IF(O$5=$E47+1,$C47,""),"")</f>
        <v/>
      </c>
      <c r="P47" s="34">
        <f>IF(AND(P$5&gt;$E47,P$5&lt;=$F47),IF(P$5=$E47+1,$C47,""),"")</f>
        <v/>
      </c>
      <c r="Q47" s="34">
        <f>IF(AND(Q$5&gt;$E47,Q$5&lt;=$F47),IF(Q$5=$E47+1,$C47,""),"")</f>
        <v/>
      </c>
      <c r="R47" s="34">
        <f>IF(AND(R$5&gt;$E47,R$5&lt;=$F47),IF(R$5=$E47+1,$C47,""),"")</f>
        <v/>
      </c>
      <c r="S47" s="34">
        <f>IF(AND(S$5&gt;$E47,S$5&lt;=$F47),IF(S$5=$E47+1,$C47,""),"")</f>
        <v/>
      </c>
      <c r="T47" s="34">
        <f>IF(AND(T$5&gt;$E47,T$5&lt;=$F47),IF(T$5=$E47+1,$C47,""),"")</f>
        <v/>
      </c>
      <c r="U47" s="34">
        <f>IF(AND(U$5&gt;$E47,U$5&lt;=$F47),IF(U$5=$E47+1,$C47,""),"")</f>
        <v/>
      </c>
      <c r="V47" s="34">
        <f>IF(AND(V$5&gt;$E47,V$5&lt;=$F47),IF(V$5=$E47+1,$C47,""),"")</f>
        <v/>
      </c>
      <c r="W47" s="34">
        <f>IF(AND(W$5&gt;$E47,W$5&lt;=$F47),IF(W$5=$E47+1,$C47,""),"")</f>
        <v/>
      </c>
      <c r="X47" s="34">
        <f>IF(AND(X$5&gt;$E47,X$5&lt;=$F47),IF(X$5=$E47+1,$C47,""),"")</f>
        <v/>
      </c>
      <c r="Y47" s="34">
        <f>IF(AND(Y$5&gt;$E47,Y$5&lt;=$F47),IF(Y$5=$E47+1,$C47,""),"")</f>
        <v/>
      </c>
      <c r="Z47" s="34">
        <f>IF(AND(Z$5&gt;$E47,Z$5&lt;=$F47),IF(Z$5=$E47+1,$C47,""),"")</f>
        <v/>
      </c>
      <c r="AA47" s="34">
        <f>IF(AND(AA$5&gt;$E47,AA$5&lt;=$F47),IF(AA$5=$E47+1,$C47,""),"")</f>
        <v/>
      </c>
      <c r="AB47" s="34">
        <f>IF(AND(AB$5&gt;$E47,AB$5&lt;=$F47),IF(AB$5=$E47+1,$C47,""),"")</f>
        <v/>
      </c>
      <c r="AC47" s="34">
        <f>IF(AND(AC$5&gt;$E47,AC$5&lt;=$F47),IF(AC$5=$E47+1,$C47,""),"")</f>
        <v/>
      </c>
      <c r="AD47" s="34">
        <f>IF(AND(AD$5&gt;$E47,AD$5&lt;=$F47),IF(AD$5=$E47+1,$C47,""),"")</f>
        <v/>
      </c>
      <c r="AE47" s="34">
        <f>IF(AND(AE$5&gt;$E47,AE$5&lt;=$F47),IF(AE$5=$E47+1,$C47,""),"")</f>
        <v/>
      </c>
      <c r="AF47" s="34">
        <f>IF(AND(AF$5&gt;$E47,AF$5&lt;=$F47),IF(AF$5=$E47+1,$C47,""),"")</f>
        <v/>
      </c>
      <c r="AG47" s="34">
        <f>IF(AND(AG$5&gt;$E47,AG$5&lt;=$F47),IF(AG$5=$E47+1,$C47,""),"")</f>
        <v/>
      </c>
      <c r="AH47" s="34">
        <f>IF(AND(AH$5&gt;$E47,AH$5&lt;=$F47),IF(AH$5=$E47+1,$C47,""),"")</f>
        <v/>
      </c>
      <c r="AI47" s="34">
        <f>IF(AND(AI$5&gt;$E47,AI$5&lt;=$F47),IF(AI$5=$E47+1,$C47,""),"")</f>
        <v/>
      </c>
      <c r="AJ47" s="34">
        <f>IF(AND(AJ$5&gt;$E47,AJ$5&lt;=$F47),IF(AJ$5=$E47+1,$C47,""),"")</f>
        <v/>
      </c>
      <c r="AK47" s="34">
        <f>IF(AND(AK$5&gt;$E47,AK$5&lt;=$F47),IF(AK$5=$E47+1,$C47,""),"")</f>
        <v/>
      </c>
      <c r="AL47" s="34">
        <f>IF(AND(AL$5&gt;$E47,AL$5&lt;=$F47),IF(AL$5=$E47+1,$C47,""),"")</f>
        <v/>
      </c>
      <c r="AM47" s="34">
        <f>IF(AND(AM$5&gt;$E47,AM$5&lt;=$F47),IF(AM$5=$E47+1,$C47,""),"")</f>
        <v/>
      </c>
      <c r="AN47" s="34">
        <f>IF(AND(AN$5&gt;$E47,AN$5&lt;=$F47),IF(AN$5=$E47+1,$C47,""),"")</f>
        <v/>
      </c>
      <c r="AO47" s="34">
        <f>IF(AND(AO$5&gt;$E47,AO$5&lt;=$F47),IF(AO$5=$E47+1,$C47,""),"")</f>
        <v/>
      </c>
      <c r="AP47" s="34">
        <f>IF(AND(AP$5&gt;$E47,AP$5&lt;=$F47),IF(AP$5=$E47+1,$C47,""),"")</f>
        <v/>
      </c>
      <c r="AQ47" s="34">
        <f>IF(AND(AQ$5&gt;$E47,AQ$5&lt;=$F47),IF(AQ$5=$E47+1,$C47,""),"")</f>
        <v/>
      </c>
      <c r="AR47" s="34">
        <f>IF(AND(AR$5&gt;$E47,AR$5&lt;=$F47),IF(AR$5=$E47+1,$C47,""),"")</f>
        <v/>
      </c>
      <c r="AS47" s="34">
        <f>IF(AND(AS$5&gt;$E47,AS$5&lt;=$F47),IF(AS$5=$E47+1,$C47,""),"")</f>
        <v/>
      </c>
      <c r="AT47" s="34">
        <f>IF(AND(AT$5&gt;$E47,AT$5&lt;=$F47),IF(AT$5=$E47+1,$C47,""),"")</f>
        <v/>
      </c>
      <c r="AU47" s="34">
        <f>IF(AND(AU$5&gt;$E47,AU$5&lt;=$F47),IF(AU$5=$E47+1,$C47,""),"")</f>
        <v/>
      </c>
      <c r="AV47" s="34">
        <f>IF(AND(AV$5&gt;$E47,AV$5&lt;=$F47),IF(AV$5=$E47+1,$C47,""),"")</f>
        <v/>
      </c>
      <c r="AW47" s="34">
        <f>IF(AND(AW$5&gt;$E47,AW$5&lt;=$F47),IF(AW$5=$E47+1,$C47,""),"")</f>
        <v/>
      </c>
      <c r="AX47" s="34">
        <f>IF(AND(AX$5&gt;$E47,AX$5&lt;=$F47),IF(AX$5=$E47+1,$C47,""),"")</f>
        <v/>
      </c>
      <c r="AY47" s="34">
        <f>IF(AND(AY$5&gt;$E47,AY$5&lt;=$F47),IF(AY$5=$E47+1,$C47,""),"")</f>
        <v/>
      </c>
      <c r="AZ47" s="34">
        <f>IF(AND(AZ$5&gt;$E47,AZ$5&lt;=$F47),IF(AZ$5=$E47+1,$C47,""),"")</f>
        <v/>
      </c>
      <c r="BA47" s="34">
        <f>IF(AND(BA$5&gt;$E47,BA$5&lt;=$F47),IF(BA$5=$E47+1,$C47,""),"")</f>
        <v/>
      </c>
      <c r="BB47" s="34">
        <f>IF(AND(BB$5&gt;$E47,BB$5&lt;=$F47),IF(BB$5=$E47+1,$C47,""),"")</f>
        <v/>
      </c>
      <c r="BC47" s="34">
        <f>IF(AND(BC$5&gt;$E47,BC$5&lt;=$F47),IF(BC$5=$E47+1,$C47,""),"")</f>
        <v/>
      </c>
      <c r="BD47" s="34">
        <f>IF(AND(BD$5&gt;$E47,BD$5&lt;=$F47),IF(BD$5=$E47+1,$C47,""),"")</f>
        <v/>
      </c>
      <c r="BE47" s="34">
        <f>IF(AND(BE$5&gt;$E47,BE$5&lt;=$F47),IF(BE$5=$E47+1,$C47,""),"")</f>
        <v/>
      </c>
      <c r="BF47" s="34">
        <f>IF(AND(BF$5&gt;$E47,BF$5&lt;=$F47),IF(BF$5=$E47+1,$C47,""),"")</f>
        <v/>
      </c>
      <c r="BG47" s="34">
        <f>IF(AND(BG$5&gt;$E47,BG$5&lt;=$F47),IF(BG$5=$E47+1,$C47,""),"")</f>
        <v/>
      </c>
      <c r="BH47" s="34">
        <f>IF(AND(BH$5&gt;$E47,BH$5&lt;=$F47),IF(BH$5=$E47+1,$C47,""),"")</f>
        <v/>
      </c>
      <c r="BI47" s="34">
        <f>IF(AND(BI$5&gt;$E47,BI$5&lt;=$F47),IF(BI$5=$E47+1,$C47,""),"")</f>
        <v/>
      </c>
      <c r="BJ47" s="34">
        <f>IF(AND(BJ$5&gt;$E47,BJ$5&lt;=$F47),IF(BJ$5=$E47+1,$C47,""),"")</f>
        <v/>
      </c>
      <c r="BK47" s="34">
        <f>IF(AND(BK$5&gt;$E47,BK$5&lt;=$F47),IF(BK$5=$E47+1,$C47,""),"")</f>
        <v/>
      </c>
      <c r="BL47" s="34">
        <f>IF(AND(BL$5&gt;$E47,BL$5&lt;=$F47),IF(BL$5=$E47+1,$C47,""),"")</f>
        <v/>
      </c>
      <c r="BM47" s="34">
        <f>IF(AND(BM$5&gt;$E47,BM$5&lt;=$F47),IF(BM$5=$E47+1,$C47,""),"")</f>
        <v/>
      </c>
      <c r="BN47" s="34">
        <f>IF(AND(BN$5&gt;$E47,BN$5&lt;=$F47),IF(BN$5=$E47+1,$C47,""),"")</f>
        <v/>
      </c>
      <c r="BO47" s="34">
        <f>IF(AND(BO$5&gt;$E47,BO$5&lt;=$F47),IF(BO$5=$E47+1,$C47,""),"")</f>
        <v/>
      </c>
      <c r="BP47" s="34">
        <f>IF(AND(BP$5&gt;$E47,BP$5&lt;=$F47),IF(BP$5=$E47+1,$C47,""),"")</f>
        <v/>
      </c>
      <c r="BQ47" s="34">
        <f>IF(AND(BQ$5&gt;$E47,BQ$5&lt;=$F47),IF(BQ$5=$E47+1,$C47,""),"")</f>
        <v/>
      </c>
      <c r="BR47" s="34">
        <f>IF(AND(BR$5&gt;$E47,BR$5&lt;=$F47),IF(BR$5=$E47+1,$C47,""),"")</f>
        <v/>
      </c>
      <c r="BS47" s="34">
        <f>IF(AND(BS$5&gt;$E47,BS$5&lt;=$F47),IF(BS$5=$E47+1,$C47,""),"")</f>
        <v/>
      </c>
      <c r="BT47" s="34">
        <f>IF(AND(BT$5&gt;$E47,BT$5&lt;=$F47),IF(BT$5=$E47+1,$C47,""),"")</f>
        <v/>
      </c>
      <c r="BU47" s="34">
        <f>IF(AND(BU$5&gt;$E47,BU$5&lt;=$F47),IF(BU$5=$E47+1,$C47,""),"")</f>
        <v/>
      </c>
      <c r="BV47" s="34">
        <f>IF(AND(BV$5&gt;$E47,BV$5&lt;=$F47),IF(BV$5=$E47+1,$C47,""),"")</f>
        <v/>
      </c>
      <c r="BW47" s="34">
        <f>IF(AND(BW$5&gt;$E47,BW$5&lt;=$F47),IF(BW$5=$E47+1,$C47,""),"")</f>
        <v/>
      </c>
      <c r="BX47" s="34">
        <f>IF(AND(BX$5&gt;$E47,BX$5&lt;=$F47),IF(BX$5=$E47+1,$C47,""),"")</f>
        <v/>
      </c>
      <c r="BY47" s="34">
        <f>IF(AND(BY$5&gt;$E47,BY$5&lt;=$F47),IF(BY$5=$E47+1,$C47,""),"")</f>
        <v/>
      </c>
      <c r="BZ47" s="34">
        <f>IF(AND(BZ$5&gt;$E47,BZ$5&lt;=$F47),IF(BZ$5=$E47+1,$C47,""),"")</f>
        <v/>
      </c>
      <c r="CA47" s="34">
        <f>IF(AND(CA$5&gt;$E47,CA$5&lt;=$F47),IF(CA$5=$E47+1,$C47,""),"")</f>
        <v/>
      </c>
      <c r="CB47" s="34">
        <f>IF(AND(CB$5&gt;$E47,CB$5&lt;=$F47),IF(CB$5=$E47+1,$C47,""),"")</f>
        <v/>
      </c>
      <c r="CC47" s="34">
        <f>IF(AND(CC$5&gt;$E47,CC$5&lt;=$F47),IF(CC$5=$E47+1,$C47,""),"")</f>
        <v/>
      </c>
      <c r="CD47" s="34">
        <f>IF(AND(CD$5&gt;$E47,CD$5&lt;=$F47),IF(CD$5=$E47+1,$C47,""),"")</f>
        <v/>
      </c>
      <c r="CE47" s="34">
        <f>IF(AND(CE$5&gt;$E47,CE$5&lt;=$F47),IF(CE$5=$E47+1,$C47,""),"")</f>
        <v/>
      </c>
      <c r="CF47" s="34">
        <f>IF(AND(CF$5&gt;$E47,CF$5&lt;=$F47),IF(CF$5=$E47+1,$C47,""),"")</f>
        <v/>
      </c>
      <c r="CG47" s="34">
        <f>IF(AND(CG$5&gt;$E47,CG$5&lt;=$F47),IF(CG$5=$E47+1,$C47,""),"")</f>
        <v/>
      </c>
      <c r="CH47" s="34">
        <f>IF(AND(CH$5&gt;$E47,CH$5&lt;=$F47),IF(CH$5=$E47+1,$C47,""),"")</f>
        <v/>
      </c>
      <c r="CI47" s="34">
        <f>IF(AND(CI$5&gt;$E47,CI$5&lt;=$F47),IF(CI$5=$E47+1,$C47,""),"")</f>
        <v/>
      </c>
      <c r="CJ47" s="34">
        <f>IF(AND(CJ$5&gt;$E47,CJ$5&lt;=$F47),IF(CJ$5=$E47+1,$C47,""),"")</f>
        <v/>
      </c>
      <c r="CK47" s="34">
        <f>IF(AND(CK$5&gt;$E47,CK$5&lt;=$F47),IF(CK$5=$E47+1,$C47,""),"")</f>
        <v/>
      </c>
      <c r="CL47" s="34">
        <f>IF(AND(CL$5&gt;$E47,CL$5&lt;=$F47),IF(CL$5=$E47+1,$C47,""),"")</f>
        <v/>
      </c>
      <c r="CM47" s="34">
        <f>IF(AND(CM$5&gt;$E47,CM$5&lt;=$F47),IF(CM$5=$E47+1,$C47,""),"")</f>
        <v/>
      </c>
      <c r="CN47" s="34">
        <f>IF(AND(CN$5&gt;$E47,CN$5&lt;=$F47),IF(CN$5=$E47+1,$C47,""),"")</f>
        <v/>
      </c>
      <c r="CO47" s="34">
        <f>IF(AND(CO$5&gt;$E47,CO$5&lt;=$F47),IF(CO$5=$E47+1,$C47,""),"")</f>
        <v/>
      </c>
      <c r="CP47" s="34">
        <f>IF(AND(CP$5&gt;$E47,CP$5&lt;=$F47),IF(CP$5=$E47+1,$C47,""),"")</f>
        <v/>
      </c>
      <c r="CQ47" s="34">
        <f>IF(AND(CQ$5&gt;$E47,CQ$5&lt;=$F47),IF(CQ$5=$E47+1,$C47,""),"")</f>
        <v/>
      </c>
      <c r="CR47" s="34">
        <f>IF(AND(CR$5&gt;$E47,CR$5&lt;=$F47),IF(CR$5=$E47+1,$C47,""),"")</f>
        <v/>
      </c>
      <c r="CS47" s="34">
        <f>IF(AND(CS$5&gt;$E47,CS$5&lt;=$F47),IF(CS$5=$E47+1,$C47,""),"")</f>
        <v/>
      </c>
    </row>
    <row r="48">
      <c r="A48" s="32">
        <f>Plan!A40</f>
        <v/>
      </c>
      <c r="B48" s="33">
        <f>Plan!C40</f>
        <v/>
      </c>
      <c r="C48" s="16">
        <f>Plan!D40</f>
        <v/>
      </c>
      <c r="D48" s="16">
        <f>Plan!I40</f>
        <v/>
      </c>
      <c r="E48" s="16">
        <f>Plan!K40</f>
        <v/>
      </c>
      <c r="F48" s="16">
        <f>Plan!L40</f>
        <v/>
      </c>
      <c r="G48" s="16">
        <f>Plan!O40</f>
        <v/>
      </c>
      <c r="H48" s="34">
        <f>IF(AND(H$5&gt;$E48,H$5&lt;=$F48),IF(H$5=$E48+1,$C48,""),"")</f>
        <v/>
      </c>
      <c r="I48" s="34">
        <f>IF(AND(I$5&gt;$E48,I$5&lt;=$F48),IF(I$5=$E48+1,$C48,""),"")</f>
        <v/>
      </c>
      <c r="J48" s="34">
        <f>IF(AND(J$5&gt;$E48,J$5&lt;=$F48),IF(J$5=$E48+1,$C48,""),"")</f>
        <v/>
      </c>
      <c r="K48" s="34">
        <f>IF(AND(K$5&gt;$E48,K$5&lt;=$F48),IF(K$5=$E48+1,$C48,""),"")</f>
        <v/>
      </c>
      <c r="L48" s="34">
        <f>IF(AND(L$5&gt;$E48,L$5&lt;=$F48),IF(L$5=$E48+1,$C48,""),"")</f>
        <v/>
      </c>
      <c r="M48" s="34">
        <f>IF(AND(M$5&gt;$E48,M$5&lt;=$F48),IF(M$5=$E48+1,$C48,""),"")</f>
        <v/>
      </c>
      <c r="N48" s="34">
        <f>IF(AND(N$5&gt;$E48,N$5&lt;=$F48),IF(N$5=$E48+1,$C48,""),"")</f>
        <v/>
      </c>
      <c r="O48" s="34">
        <f>IF(AND(O$5&gt;$E48,O$5&lt;=$F48),IF(O$5=$E48+1,$C48,""),"")</f>
        <v/>
      </c>
      <c r="P48" s="34">
        <f>IF(AND(P$5&gt;$E48,P$5&lt;=$F48),IF(P$5=$E48+1,$C48,""),"")</f>
        <v/>
      </c>
      <c r="Q48" s="34">
        <f>IF(AND(Q$5&gt;$E48,Q$5&lt;=$F48),IF(Q$5=$E48+1,$C48,""),"")</f>
        <v/>
      </c>
      <c r="R48" s="34">
        <f>IF(AND(R$5&gt;$E48,R$5&lt;=$F48),IF(R$5=$E48+1,$C48,""),"")</f>
        <v/>
      </c>
      <c r="S48" s="34">
        <f>IF(AND(S$5&gt;$E48,S$5&lt;=$F48),IF(S$5=$E48+1,$C48,""),"")</f>
        <v/>
      </c>
      <c r="T48" s="34">
        <f>IF(AND(T$5&gt;$E48,T$5&lt;=$F48),IF(T$5=$E48+1,$C48,""),"")</f>
        <v/>
      </c>
      <c r="U48" s="34">
        <f>IF(AND(U$5&gt;$E48,U$5&lt;=$F48),IF(U$5=$E48+1,$C48,""),"")</f>
        <v/>
      </c>
      <c r="V48" s="34">
        <f>IF(AND(V$5&gt;$E48,V$5&lt;=$F48),IF(V$5=$E48+1,$C48,""),"")</f>
        <v/>
      </c>
      <c r="W48" s="34">
        <f>IF(AND(W$5&gt;$E48,W$5&lt;=$F48),IF(W$5=$E48+1,$C48,""),"")</f>
        <v/>
      </c>
      <c r="X48" s="34">
        <f>IF(AND(X$5&gt;$E48,X$5&lt;=$F48),IF(X$5=$E48+1,$C48,""),"")</f>
        <v/>
      </c>
      <c r="Y48" s="34">
        <f>IF(AND(Y$5&gt;$E48,Y$5&lt;=$F48),IF(Y$5=$E48+1,$C48,""),"")</f>
        <v/>
      </c>
      <c r="Z48" s="34">
        <f>IF(AND(Z$5&gt;$E48,Z$5&lt;=$F48),IF(Z$5=$E48+1,$C48,""),"")</f>
        <v/>
      </c>
      <c r="AA48" s="34">
        <f>IF(AND(AA$5&gt;$E48,AA$5&lt;=$F48),IF(AA$5=$E48+1,$C48,""),"")</f>
        <v/>
      </c>
      <c r="AB48" s="34">
        <f>IF(AND(AB$5&gt;$E48,AB$5&lt;=$F48),IF(AB$5=$E48+1,$C48,""),"")</f>
        <v/>
      </c>
      <c r="AC48" s="34">
        <f>IF(AND(AC$5&gt;$E48,AC$5&lt;=$F48),IF(AC$5=$E48+1,$C48,""),"")</f>
        <v/>
      </c>
      <c r="AD48" s="34">
        <f>IF(AND(AD$5&gt;$E48,AD$5&lt;=$F48),IF(AD$5=$E48+1,$C48,""),"")</f>
        <v/>
      </c>
      <c r="AE48" s="34">
        <f>IF(AND(AE$5&gt;$E48,AE$5&lt;=$F48),IF(AE$5=$E48+1,$C48,""),"")</f>
        <v/>
      </c>
      <c r="AF48" s="34">
        <f>IF(AND(AF$5&gt;$E48,AF$5&lt;=$F48),IF(AF$5=$E48+1,$C48,""),"")</f>
        <v/>
      </c>
      <c r="AG48" s="34">
        <f>IF(AND(AG$5&gt;$E48,AG$5&lt;=$F48),IF(AG$5=$E48+1,$C48,""),"")</f>
        <v/>
      </c>
      <c r="AH48" s="34">
        <f>IF(AND(AH$5&gt;$E48,AH$5&lt;=$F48),IF(AH$5=$E48+1,$C48,""),"")</f>
        <v/>
      </c>
      <c r="AI48" s="34">
        <f>IF(AND(AI$5&gt;$E48,AI$5&lt;=$F48),IF(AI$5=$E48+1,$C48,""),"")</f>
        <v/>
      </c>
      <c r="AJ48" s="34">
        <f>IF(AND(AJ$5&gt;$E48,AJ$5&lt;=$F48),IF(AJ$5=$E48+1,$C48,""),"")</f>
        <v/>
      </c>
      <c r="AK48" s="34">
        <f>IF(AND(AK$5&gt;$E48,AK$5&lt;=$F48),IF(AK$5=$E48+1,$C48,""),"")</f>
        <v/>
      </c>
      <c r="AL48" s="34">
        <f>IF(AND(AL$5&gt;$E48,AL$5&lt;=$F48),IF(AL$5=$E48+1,$C48,""),"")</f>
        <v/>
      </c>
      <c r="AM48" s="34">
        <f>IF(AND(AM$5&gt;$E48,AM$5&lt;=$F48),IF(AM$5=$E48+1,$C48,""),"")</f>
        <v/>
      </c>
      <c r="AN48" s="34">
        <f>IF(AND(AN$5&gt;$E48,AN$5&lt;=$F48),IF(AN$5=$E48+1,$C48,""),"")</f>
        <v/>
      </c>
      <c r="AO48" s="34">
        <f>IF(AND(AO$5&gt;$E48,AO$5&lt;=$F48),IF(AO$5=$E48+1,$C48,""),"")</f>
        <v/>
      </c>
      <c r="AP48" s="34">
        <f>IF(AND(AP$5&gt;$E48,AP$5&lt;=$F48),IF(AP$5=$E48+1,$C48,""),"")</f>
        <v/>
      </c>
      <c r="AQ48" s="34">
        <f>IF(AND(AQ$5&gt;$E48,AQ$5&lt;=$F48),IF(AQ$5=$E48+1,$C48,""),"")</f>
        <v/>
      </c>
      <c r="AR48" s="34">
        <f>IF(AND(AR$5&gt;$E48,AR$5&lt;=$F48),IF(AR$5=$E48+1,$C48,""),"")</f>
        <v/>
      </c>
      <c r="AS48" s="34">
        <f>IF(AND(AS$5&gt;$E48,AS$5&lt;=$F48),IF(AS$5=$E48+1,$C48,""),"")</f>
        <v/>
      </c>
      <c r="AT48" s="34">
        <f>IF(AND(AT$5&gt;$E48,AT$5&lt;=$F48),IF(AT$5=$E48+1,$C48,""),"")</f>
        <v/>
      </c>
      <c r="AU48" s="34">
        <f>IF(AND(AU$5&gt;$E48,AU$5&lt;=$F48),IF(AU$5=$E48+1,$C48,""),"")</f>
        <v/>
      </c>
      <c r="AV48" s="34">
        <f>IF(AND(AV$5&gt;$E48,AV$5&lt;=$F48),IF(AV$5=$E48+1,$C48,""),"")</f>
        <v/>
      </c>
      <c r="AW48" s="34">
        <f>IF(AND(AW$5&gt;$E48,AW$5&lt;=$F48),IF(AW$5=$E48+1,$C48,""),"")</f>
        <v/>
      </c>
      <c r="AX48" s="34">
        <f>IF(AND(AX$5&gt;$E48,AX$5&lt;=$F48),IF(AX$5=$E48+1,$C48,""),"")</f>
        <v/>
      </c>
      <c r="AY48" s="34">
        <f>IF(AND(AY$5&gt;$E48,AY$5&lt;=$F48),IF(AY$5=$E48+1,$C48,""),"")</f>
        <v/>
      </c>
      <c r="AZ48" s="34">
        <f>IF(AND(AZ$5&gt;$E48,AZ$5&lt;=$F48),IF(AZ$5=$E48+1,$C48,""),"")</f>
        <v/>
      </c>
      <c r="BA48" s="34">
        <f>IF(AND(BA$5&gt;$E48,BA$5&lt;=$F48),IF(BA$5=$E48+1,$C48,""),"")</f>
        <v/>
      </c>
      <c r="BB48" s="34">
        <f>IF(AND(BB$5&gt;$E48,BB$5&lt;=$F48),IF(BB$5=$E48+1,$C48,""),"")</f>
        <v/>
      </c>
      <c r="BC48" s="34">
        <f>IF(AND(BC$5&gt;$E48,BC$5&lt;=$F48),IF(BC$5=$E48+1,$C48,""),"")</f>
        <v/>
      </c>
      <c r="BD48" s="34">
        <f>IF(AND(BD$5&gt;$E48,BD$5&lt;=$F48),IF(BD$5=$E48+1,$C48,""),"")</f>
        <v/>
      </c>
      <c r="BE48" s="34">
        <f>IF(AND(BE$5&gt;$E48,BE$5&lt;=$F48),IF(BE$5=$E48+1,$C48,""),"")</f>
        <v/>
      </c>
      <c r="BF48" s="34">
        <f>IF(AND(BF$5&gt;$E48,BF$5&lt;=$F48),IF(BF$5=$E48+1,$C48,""),"")</f>
        <v/>
      </c>
      <c r="BG48" s="34">
        <f>IF(AND(BG$5&gt;$E48,BG$5&lt;=$F48),IF(BG$5=$E48+1,$C48,""),"")</f>
        <v/>
      </c>
      <c r="BH48" s="34">
        <f>IF(AND(BH$5&gt;$E48,BH$5&lt;=$F48),IF(BH$5=$E48+1,$C48,""),"")</f>
        <v/>
      </c>
      <c r="BI48" s="34">
        <f>IF(AND(BI$5&gt;$E48,BI$5&lt;=$F48),IF(BI$5=$E48+1,$C48,""),"")</f>
        <v/>
      </c>
      <c r="BJ48" s="34">
        <f>IF(AND(BJ$5&gt;$E48,BJ$5&lt;=$F48),IF(BJ$5=$E48+1,$C48,""),"")</f>
        <v/>
      </c>
      <c r="BK48" s="34">
        <f>IF(AND(BK$5&gt;$E48,BK$5&lt;=$F48),IF(BK$5=$E48+1,$C48,""),"")</f>
        <v/>
      </c>
      <c r="BL48" s="34">
        <f>IF(AND(BL$5&gt;$E48,BL$5&lt;=$F48),IF(BL$5=$E48+1,$C48,""),"")</f>
        <v/>
      </c>
      <c r="BM48" s="34">
        <f>IF(AND(BM$5&gt;$E48,BM$5&lt;=$F48),IF(BM$5=$E48+1,$C48,""),"")</f>
        <v/>
      </c>
      <c r="BN48" s="34">
        <f>IF(AND(BN$5&gt;$E48,BN$5&lt;=$F48),IF(BN$5=$E48+1,$C48,""),"")</f>
        <v/>
      </c>
      <c r="BO48" s="34">
        <f>IF(AND(BO$5&gt;$E48,BO$5&lt;=$F48),IF(BO$5=$E48+1,$C48,""),"")</f>
        <v/>
      </c>
      <c r="BP48" s="34">
        <f>IF(AND(BP$5&gt;$E48,BP$5&lt;=$F48),IF(BP$5=$E48+1,$C48,""),"")</f>
        <v/>
      </c>
      <c r="BQ48" s="34">
        <f>IF(AND(BQ$5&gt;$E48,BQ$5&lt;=$F48),IF(BQ$5=$E48+1,$C48,""),"")</f>
        <v/>
      </c>
      <c r="BR48" s="34">
        <f>IF(AND(BR$5&gt;$E48,BR$5&lt;=$F48),IF(BR$5=$E48+1,$C48,""),"")</f>
        <v/>
      </c>
      <c r="BS48" s="34">
        <f>IF(AND(BS$5&gt;$E48,BS$5&lt;=$F48),IF(BS$5=$E48+1,$C48,""),"")</f>
        <v/>
      </c>
      <c r="BT48" s="34">
        <f>IF(AND(BT$5&gt;$E48,BT$5&lt;=$F48),IF(BT$5=$E48+1,$C48,""),"")</f>
        <v/>
      </c>
      <c r="BU48" s="34">
        <f>IF(AND(BU$5&gt;$E48,BU$5&lt;=$F48),IF(BU$5=$E48+1,$C48,""),"")</f>
        <v/>
      </c>
      <c r="BV48" s="34">
        <f>IF(AND(BV$5&gt;$E48,BV$5&lt;=$F48),IF(BV$5=$E48+1,$C48,""),"")</f>
        <v/>
      </c>
      <c r="BW48" s="34">
        <f>IF(AND(BW$5&gt;$E48,BW$5&lt;=$F48),IF(BW$5=$E48+1,$C48,""),"")</f>
        <v/>
      </c>
      <c r="BX48" s="34">
        <f>IF(AND(BX$5&gt;$E48,BX$5&lt;=$F48),IF(BX$5=$E48+1,$C48,""),"")</f>
        <v/>
      </c>
      <c r="BY48" s="34">
        <f>IF(AND(BY$5&gt;$E48,BY$5&lt;=$F48),IF(BY$5=$E48+1,$C48,""),"")</f>
        <v/>
      </c>
      <c r="BZ48" s="34">
        <f>IF(AND(BZ$5&gt;$E48,BZ$5&lt;=$F48),IF(BZ$5=$E48+1,$C48,""),"")</f>
        <v/>
      </c>
      <c r="CA48" s="34">
        <f>IF(AND(CA$5&gt;$E48,CA$5&lt;=$F48),IF(CA$5=$E48+1,$C48,""),"")</f>
        <v/>
      </c>
      <c r="CB48" s="34">
        <f>IF(AND(CB$5&gt;$E48,CB$5&lt;=$F48),IF(CB$5=$E48+1,$C48,""),"")</f>
        <v/>
      </c>
      <c r="CC48" s="34">
        <f>IF(AND(CC$5&gt;$E48,CC$5&lt;=$F48),IF(CC$5=$E48+1,$C48,""),"")</f>
        <v/>
      </c>
      <c r="CD48" s="34">
        <f>IF(AND(CD$5&gt;$E48,CD$5&lt;=$F48),IF(CD$5=$E48+1,$C48,""),"")</f>
        <v/>
      </c>
      <c r="CE48" s="34">
        <f>IF(AND(CE$5&gt;$E48,CE$5&lt;=$F48),IF(CE$5=$E48+1,$C48,""),"")</f>
        <v/>
      </c>
      <c r="CF48" s="34">
        <f>IF(AND(CF$5&gt;$E48,CF$5&lt;=$F48),IF(CF$5=$E48+1,$C48,""),"")</f>
        <v/>
      </c>
      <c r="CG48" s="34">
        <f>IF(AND(CG$5&gt;$E48,CG$5&lt;=$F48),IF(CG$5=$E48+1,$C48,""),"")</f>
        <v/>
      </c>
      <c r="CH48" s="34">
        <f>IF(AND(CH$5&gt;$E48,CH$5&lt;=$F48),IF(CH$5=$E48+1,$C48,""),"")</f>
        <v/>
      </c>
      <c r="CI48" s="34">
        <f>IF(AND(CI$5&gt;$E48,CI$5&lt;=$F48),IF(CI$5=$E48+1,$C48,""),"")</f>
        <v/>
      </c>
      <c r="CJ48" s="34">
        <f>IF(AND(CJ$5&gt;$E48,CJ$5&lt;=$F48),IF(CJ$5=$E48+1,$C48,""),"")</f>
        <v/>
      </c>
      <c r="CK48" s="34">
        <f>IF(AND(CK$5&gt;$E48,CK$5&lt;=$F48),IF(CK$5=$E48+1,$C48,""),"")</f>
        <v/>
      </c>
      <c r="CL48" s="34">
        <f>IF(AND(CL$5&gt;$E48,CL$5&lt;=$F48),IF(CL$5=$E48+1,$C48,""),"")</f>
        <v/>
      </c>
      <c r="CM48" s="34">
        <f>IF(AND(CM$5&gt;$E48,CM$5&lt;=$F48),IF(CM$5=$E48+1,$C48,""),"")</f>
        <v/>
      </c>
      <c r="CN48" s="34">
        <f>IF(AND(CN$5&gt;$E48,CN$5&lt;=$F48),IF(CN$5=$E48+1,$C48,""),"")</f>
        <v/>
      </c>
      <c r="CO48" s="34">
        <f>IF(AND(CO$5&gt;$E48,CO$5&lt;=$F48),IF(CO$5=$E48+1,$C48,""),"")</f>
        <v/>
      </c>
      <c r="CP48" s="34">
        <f>IF(AND(CP$5&gt;$E48,CP$5&lt;=$F48),IF(CP$5=$E48+1,$C48,""),"")</f>
        <v/>
      </c>
      <c r="CQ48" s="34">
        <f>IF(AND(CQ$5&gt;$E48,CQ$5&lt;=$F48),IF(CQ$5=$E48+1,$C48,""),"")</f>
        <v/>
      </c>
      <c r="CR48" s="34">
        <f>IF(AND(CR$5&gt;$E48,CR$5&lt;=$F48),IF(CR$5=$E48+1,$C48,""),"")</f>
        <v/>
      </c>
      <c r="CS48" s="34">
        <f>IF(AND(CS$5&gt;$E48,CS$5&lt;=$F48),IF(CS$5=$E48+1,$C48,""),"")</f>
        <v/>
      </c>
    </row>
    <row r="49">
      <c r="A49" s="32">
        <f>Plan!A41</f>
        <v/>
      </c>
      <c r="B49" s="33">
        <f>Plan!C41</f>
        <v/>
      </c>
      <c r="C49" s="16">
        <f>Plan!D41</f>
        <v/>
      </c>
      <c r="D49" s="16">
        <f>Plan!I41</f>
        <v/>
      </c>
      <c r="E49" s="16">
        <f>Plan!K41</f>
        <v/>
      </c>
      <c r="F49" s="16">
        <f>Plan!L41</f>
        <v/>
      </c>
      <c r="G49" s="16">
        <f>Plan!O41</f>
        <v/>
      </c>
      <c r="H49" s="34">
        <f>IF(AND(H$5&gt;$E49,H$5&lt;=$F49),IF(H$5=$E49+1,$C49,""),"")</f>
        <v/>
      </c>
      <c r="I49" s="34">
        <f>IF(AND(I$5&gt;$E49,I$5&lt;=$F49),IF(I$5=$E49+1,$C49,""),"")</f>
        <v/>
      </c>
      <c r="J49" s="34">
        <f>IF(AND(J$5&gt;$E49,J$5&lt;=$F49),IF(J$5=$E49+1,$C49,""),"")</f>
        <v/>
      </c>
      <c r="K49" s="34">
        <f>IF(AND(K$5&gt;$E49,K$5&lt;=$F49),IF(K$5=$E49+1,$C49,""),"")</f>
        <v/>
      </c>
      <c r="L49" s="34">
        <f>IF(AND(L$5&gt;$E49,L$5&lt;=$F49),IF(L$5=$E49+1,$C49,""),"")</f>
        <v/>
      </c>
      <c r="M49" s="34">
        <f>IF(AND(M$5&gt;$E49,M$5&lt;=$F49),IF(M$5=$E49+1,$C49,""),"")</f>
        <v/>
      </c>
      <c r="N49" s="34">
        <f>IF(AND(N$5&gt;$E49,N$5&lt;=$F49),IF(N$5=$E49+1,$C49,""),"")</f>
        <v/>
      </c>
      <c r="O49" s="34">
        <f>IF(AND(O$5&gt;$E49,O$5&lt;=$F49),IF(O$5=$E49+1,$C49,""),"")</f>
        <v/>
      </c>
      <c r="P49" s="34">
        <f>IF(AND(P$5&gt;$E49,P$5&lt;=$F49),IF(P$5=$E49+1,$C49,""),"")</f>
        <v/>
      </c>
      <c r="Q49" s="34">
        <f>IF(AND(Q$5&gt;$E49,Q$5&lt;=$F49),IF(Q$5=$E49+1,$C49,""),"")</f>
        <v/>
      </c>
      <c r="R49" s="34">
        <f>IF(AND(R$5&gt;$E49,R$5&lt;=$F49),IF(R$5=$E49+1,$C49,""),"")</f>
        <v/>
      </c>
      <c r="S49" s="34">
        <f>IF(AND(S$5&gt;$E49,S$5&lt;=$F49),IF(S$5=$E49+1,$C49,""),"")</f>
        <v/>
      </c>
      <c r="T49" s="34">
        <f>IF(AND(T$5&gt;$E49,T$5&lt;=$F49),IF(T$5=$E49+1,$C49,""),"")</f>
        <v/>
      </c>
      <c r="U49" s="34">
        <f>IF(AND(U$5&gt;$E49,U$5&lt;=$F49),IF(U$5=$E49+1,$C49,""),"")</f>
        <v/>
      </c>
      <c r="V49" s="34">
        <f>IF(AND(V$5&gt;$E49,V$5&lt;=$F49),IF(V$5=$E49+1,$C49,""),"")</f>
        <v/>
      </c>
      <c r="W49" s="34">
        <f>IF(AND(W$5&gt;$E49,W$5&lt;=$F49),IF(W$5=$E49+1,$C49,""),"")</f>
        <v/>
      </c>
      <c r="X49" s="34">
        <f>IF(AND(X$5&gt;$E49,X$5&lt;=$F49),IF(X$5=$E49+1,$C49,""),"")</f>
        <v/>
      </c>
      <c r="Y49" s="34">
        <f>IF(AND(Y$5&gt;$E49,Y$5&lt;=$F49),IF(Y$5=$E49+1,$C49,""),"")</f>
        <v/>
      </c>
      <c r="Z49" s="34">
        <f>IF(AND(Z$5&gt;$E49,Z$5&lt;=$F49),IF(Z$5=$E49+1,$C49,""),"")</f>
        <v/>
      </c>
      <c r="AA49" s="34">
        <f>IF(AND(AA$5&gt;$E49,AA$5&lt;=$F49),IF(AA$5=$E49+1,$C49,""),"")</f>
        <v/>
      </c>
      <c r="AB49" s="34">
        <f>IF(AND(AB$5&gt;$E49,AB$5&lt;=$F49),IF(AB$5=$E49+1,$C49,""),"")</f>
        <v/>
      </c>
      <c r="AC49" s="34">
        <f>IF(AND(AC$5&gt;$E49,AC$5&lt;=$F49),IF(AC$5=$E49+1,$C49,""),"")</f>
        <v/>
      </c>
      <c r="AD49" s="34">
        <f>IF(AND(AD$5&gt;$E49,AD$5&lt;=$F49),IF(AD$5=$E49+1,$C49,""),"")</f>
        <v/>
      </c>
      <c r="AE49" s="34">
        <f>IF(AND(AE$5&gt;$E49,AE$5&lt;=$F49),IF(AE$5=$E49+1,$C49,""),"")</f>
        <v/>
      </c>
      <c r="AF49" s="34">
        <f>IF(AND(AF$5&gt;$E49,AF$5&lt;=$F49),IF(AF$5=$E49+1,$C49,""),"")</f>
        <v/>
      </c>
      <c r="AG49" s="34">
        <f>IF(AND(AG$5&gt;$E49,AG$5&lt;=$F49),IF(AG$5=$E49+1,$C49,""),"")</f>
        <v/>
      </c>
      <c r="AH49" s="34">
        <f>IF(AND(AH$5&gt;$E49,AH$5&lt;=$F49),IF(AH$5=$E49+1,$C49,""),"")</f>
        <v/>
      </c>
      <c r="AI49" s="34">
        <f>IF(AND(AI$5&gt;$E49,AI$5&lt;=$F49),IF(AI$5=$E49+1,$C49,""),"")</f>
        <v/>
      </c>
      <c r="AJ49" s="34">
        <f>IF(AND(AJ$5&gt;$E49,AJ$5&lt;=$F49),IF(AJ$5=$E49+1,$C49,""),"")</f>
        <v/>
      </c>
      <c r="AK49" s="34">
        <f>IF(AND(AK$5&gt;$E49,AK$5&lt;=$F49),IF(AK$5=$E49+1,$C49,""),"")</f>
        <v/>
      </c>
      <c r="AL49" s="34">
        <f>IF(AND(AL$5&gt;$E49,AL$5&lt;=$F49),IF(AL$5=$E49+1,$C49,""),"")</f>
        <v/>
      </c>
      <c r="AM49" s="34">
        <f>IF(AND(AM$5&gt;$E49,AM$5&lt;=$F49),IF(AM$5=$E49+1,$C49,""),"")</f>
        <v/>
      </c>
      <c r="AN49" s="34">
        <f>IF(AND(AN$5&gt;$E49,AN$5&lt;=$F49),IF(AN$5=$E49+1,$C49,""),"")</f>
        <v/>
      </c>
      <c r="AO49" s="34">
        <f>IF(AND(AO$5&gt;$E49,AO$5&lt;=$F49),IF(AO$5=$E49+1,$C49,""),"")</f>
        <v/>
      </c>
      <c r="AP49" s="34">
        <f>IF(AND(AP$5&gt;$E49,AP$5&lt;=$F49),IF(AP$5=$E49+1,$C49,""),"")</f>
        <v/>
      </c>
      <c r="AQ49" s="34">
        <f>IF(AND(AQ$5&gt;$E49,AQ$5&lt;=$F49),IF(AQ$5=$E49+1,$C49,""),"")</f>
        <v/>
      </c>
      <c r="AR49" s="34">
        <f>IF(AND(AR$5&gt;$E49,AR$5&lt;=$F49),IF(AR$5=$E49+1,$C49,""),"")</f>
        <v/>
      </c>
      <c r="AS49" s="34">
        <f>IF(AND(AS$5&gt;$E49,AS$5&lt;=$F49),IF(AS$5=$E49+1,$C49,""),"")</f>
        <v/>
      </c>
      <c r="AT49" s="34">
        <f>IF(AND(AT$5&gt;$E49,AT$5&lt;=$F49),IF(AT$5=$E49+1,$C49,""),"")</f>
        <v/>
      </c>
      <c r="AU49" s="34">
        <f>IF(AND(AU$5&gt;$E49,AU$5&lt;=$F49),IF(AU$5=$E49+1,$C49,""),"")</f>
        <v/>
      </c>
      <c r="AV49" s="34">
        <f>IF(AND(AV$5&gt;$E49,AV$5&lt;=$F49),IF(AV$5=$E49+1,$C49,""),"")</f>
        <v/>
      </c>
      <c r="AW49" s="34">
        <f>IF(AND(AW$5&gt;$E49,AW$5&lt;=$F49),IF(AW$5=$E49+1,$C49,""),"")</f>
        <v/>
      </c>
      <c r="AX49" s="34">
        <f>IF(AND(AX$5&gt;$E49,AX$5&lt;=$F49),IF(AX$5=$E49+1,$C49,""),"")</f>
        <v/>
      </c>
      <c r="AY49" s="34">
        <f>IF(AND(AY$5&gt;$E49,AY$5&lt;=$F49),IF(AY$5=$E49+1,$C49,""),"")</f>
        <v/>
      </c>
      <c r="AZ49" s="34">
        <f>IF(AND(AZ$5&gt;$E49,AZ$5&lt;=$F49),IF(AZ$5=$E49+1,$C49,""),"")</f>
        <v/>
      </c>
      <c r="BA49" s="34">
        <f>IF(AND(BA$5&gt;$E49,BA$5&lt;=$F49),IF(BA$5=$E49+1,$C49,""),"")</f>
        <v/>
      </c>
      <c r="BB49" s="34">
        <f>IF(AND(BB$5&gt;$E49,BB$5&lt;=$F49),IF(BB$5=$E49+1,$C49,""),"")</f>
        <v/>
      </c>
      <c r="BC49" s="34">
        <f>IF(AND(BC$5&gt;$E49,BC$5&lt;=$F49),IF(BC$5=$E49+1,$C49,""),"")</f>
        <v/>
      </c>
      <c r="BD49" s="34">
        <f>IF(AND(BD$5&gt;$E49,BD$5&lt;=$F49),IF(BD$5=$E49+1,$C49,""),"")</f>
        <v/>
      </c>
      <c r="BE49" s="34">
        <f>IF(AND(BE$5&gt;$E49,BE$5&lt;=$F49),IF(BE$5=$E49+1,$C49,""),"")</f>
        <v/>
      </c>
      <c r="BF49" s="34">
        <f>IF(AND(BF$5&gt;$E49,BF$5&lt;=$F49),IF(BF$5=$E49+1,$C49,""),"")</f>
        <v/>
      </c>
      <c r="BG49" s="34">
        <f>IF(AND(BG$5&gt;$E49,BG$5&lt;=$F49),IF(BG$5=$E49+1,$C49,""),"")</f>
        <v/>
      </c>
      <c r="BH49" s="34">
        <f>IF(AND(BH$5&gt;$E49,BH$5&lt;=$F49),IF(BH$5=$E49+1,$C49,""),"")</f>
        <v/>
      </c>
      <c r="BI49" s="34">
        <f>IF(AND(BI$5&gt;$E49,BI$5&lt;=$F49),IF(BI$5=$E49+1,$C49,""),"")</f>
        <v/>
      </c>
      <c r="BJ49" s="34">
        <f>IF(AND(BJ$5&gt;$E49,BJ$5&lt;=$F49),IF(BJ$5=$E49+1,$C49,""),"")</f>
        <v/>
      </c>
      <c r="BK49" s="34">
        <f>IF(AND(BK$5&gt;$E49,BK$5&lt;=$F49),IF(BK$5=$E49+1,$C49,""),"")</f>
        <v/>
      </c>
      <c r="BL49" s="34">
        <f>IF(AND(BL$5&gt;$E49,BL$5&lt;=$F49),IF(BL$5=$E49+1,$C49,""),"")</f>
        <v/>
      </c>
      <c r="BM49" s="34">
        <f>IF(AND(BM$5&gt;$E49,BM$5&lt;=$F49),IF(BM$5=$E49+1,$C49,""),"")</f>
        <v/>
      </c>
      <c r="BN49" s="34">
        <f>IF(AND(BN$5&gt;$E49,BN$5&lt;=$F49),IF(BN$5=$E49+1,$C49,""),"")</f>
        <v/>
      </c>
      <c r="BO49" s="34">
        <f>IF(AND(BO$5&gt;$E49,BO$5&lt;=$F49),IF(BO$5=$E49+1,$C49,""),"")</f>
        <v/>
      </c>
      <c r="BP49" s="34">
        <f>IF(AND(BP$5&gt;$E49,BP$5&lt;=$F49),IF(BP$5=$E49+1,$C49,""),"")</f>
        <v/>
      </c>
      <c r="BQ49" s="34">
        <f>IF(AND(BQ$5&gt;$E49,BQ$5&lt;=$F49),IF(BQ$5=$E49+1,$C49,""),"")</f>
        <v/>
      </c>
      <c r="BR49" s="34">
        <f>IF(AND(BR$5&gt;$E49,BR$5&lt;=$F49),IF(BR$5=$E49+1,$C49,""),"")</f>
        <v/>
      </c>
      <c r="BS49" s="34">
        <f>IF(AND(BS$5&gt;$E49,BS$5&lt;=$F49),IF(BS$5=$E49+1,$C49,""),"")</f>
        <v/>
      </c>
      <c r="BT49" s="34">
        <f>IF(AND(BT$5&gt;$E49,BT$5&lt;=$F49),IF(BT$5=$E49+1,$C49,""),"")</f>
        <v/>
      </c>
      <c r="BU49" s="34">
        <f>IF(AND(BU$5&gt;$E49,BU$5&lt;=$F49),IF(BU$5=$E49+1,$C49,""),"")</f>
        <v/>
      </c>
      <c r="BV49" s="34">
        <f>IF(AND(BV$5&gt;$E49,BV$5&lt;=$F49),IF(BV$5=$E49+1,$C49,""),"")</f>
        <v/>
      </c>
      <c r="BW49" s="34">
        <f>IF(AND(BW$5&gt;$E49,BW$5&lt;=$F49),IF(BW$5=$E49+1,$C49,""),"")</f>
        <v/>
      </c>
      <c r="BX49" s="34">
        <f>IF(AND(BX$5&gt;$E49,BX$5&lt;=$F49),IF(BX$5=$E49+1,$C49,""),"")</f>
        <v/>
      </c>
      <c r="BY49" s="34">
        <f>IF(AND(BY$5&gt;$E49,BY$5&lt;=$F49),IF(BY$5=$E49+1,$C49,""),"")</f>
        <v/>
      </c>
      <c r="BZ49" s="34">
        <f>IF(AND(BZ$5&gt;$E49,BZ$5&lt;=$F49),IF(BZ$5=$E49+1,$C49,""),"")</f>
        <v/>
      </c>
      <c r="CA49" s="34">
        <f>IF(AND(CA$5&gt;$E49,CA$5&lt;=$F49),IF(CA$5=$E49+1,$C49,""),"")</f>
        <v/>
      </c>
      <c r="CB49" s="34">
        <f>IF(AND(CB$5&gt;$E49,CB$5&lt;=$F49),IF(CB$5=$E49+1,$C49,""),"")</f>
        <v/>
      </c>
      <c r="CC49" s="34">
        <f>IF(AND(CC$5&gt;$E49,CC$5&lt;=$F49),IF(CC$5=$E49+1,$C49,""),"")</f>
        <v/>
      </c>
      <c r="CD49" s="34">
        <f>IF(AND(CD$5&gt;$E49,CD$5&lt;=$F49),IF(CD$5=$E49+1,$C49,""),"")</f>
        <v/>
      </c>
      <c r="CE49" s="34">
        <f>IF(AND(CE$5&gt;$E49,CE$5&lt;=$F49),IF(CE$5=$E49+1,$C49,""),"")</f>
        <v/>
      </c>
      <c r="CF49" s="34">
        <f>IF(AND(CF$5&gt;$E49,CF$5&lt;=$F49),IF(CF$5=$E49+1,$C49,""),"")</f>
        <v/>
      </c>
      <c r="CG49" s="34">
        <f>IF(AND(CG$5&gt;$E49,CG$5&lt;=$F49),IF(CG$5=$E49+1,$C49,""),"")</f>
        <v/>
      </c>
      <c r="CH49" s="34">
        <f>IF(AND(CH$5&gt;$E49,CH$5&lt;=$F49),IF(CH$5=$E49+1,$C49,""),"")</f>
        <v/>
      </c>
      <c r="CI49" s="34">
        <f>IF(AND(CI$5&gt;$E49,CI$5&lt;=$F49),IF(CI$5=$E49+1,$C49,""),"")</f>
        <v/>
      </c>
      <c r="CJ49" s="34">
        <f>IF(AND(CJ$5&gt;$E49,CJ$5&lt;=$F49),IF(CJ$5=$E49+1,$C49,""),"")</f>
        <v/>
      </c>
      <c r="CK49" s="34">
        <f>IF(AND(CK$5&gt;$E49,CK$5&lt;=$F49),IF(CK$5=$E49+1,$C49,""),"")</f>
        <v/>
      </c>
      <c r="CL49" s="34">
        <f>IF(AND(CL$5&gt;$E49,CL$5&lt;=$F49),IF(CL$5=$E49+1,$C49,""),"")</f>
        <v/>
      </c>
      <c r="CM49" s="34">
        <f>IF(AND(CM$5&gt;$E49,CM$5&lt;=$F49),IF(CM$5=$E49+1,$C49,""),"")</f>
        <v/>
      </c>
      <c r="CN49" s="34">
        <f>IF(AND(CN$5&gt;$E49,CN$5&lt;=$F49),IF(CN$5=$E49+1,$C49,""),"")</f>
        <v/>
      </c>
      <c r="CO49" s="34">
        <f>IF(AND(CO$5&gt;$E49,CO$5&lt;=$F49),IF(CO$5=$E49+1,$C49,""),"")</f>
        <v/>
      </c>
      <c r="CP49" s="34">
        <f>IF(AND(CP$5&gt;$E49,CP$5&lt;=$F49),IF(CP$5=$E49+1,$C49,""),"")</f>
        <v/>
      </c>
      <c r="CQ49" s="34">
        <f>IF(AND(CQ$5&gt;$E49,CQ$5&lt;=$F49),IF(CQ$5=$E49+1,$C49,""),"")</f>
        <v/>
      </c>
      <c r="CR49" s="34">
        <f>IF(AND(CR$5&gt;$E49,CR$5&lt;=$F49),IF(CR$5=$E49+1,$C49,""),"")</f>
        <v/>
      </c>
      <c r="CS49" s="34">
        <f>IF(AND(CS$5&gt;$E49,CS$5&lt;=$F49),IF(CS$5=$E49+1,$C49,""),"")</f>
        <v/>
      </c>
    </row>
    <row r="50">
      <c r="A50" s="32">
        <f>Plan!A42</f>
        <v/>
      </c>
      <c r="B50" s="33">
        <f>Plan!C42</f>
        <v/>
      </c>
      <c r="C50" s="16">
        <f>Plan!D42</f>
        <v/>
      </c>
      <c r="D50" s="16">
        <f>Plan!I42</f>
        <v/>
      </c>
      <c r="E50" s="16">
        <f>Plan!K42</f>
        <v/>
      </c>
      <c r="F50" s="16">
        <f>Plan!L42</f>
        <v/>
      </c>
      <c r="G50" s="16">
        <f>Plan!O42</f>
        <v/>
      </c>
      <c r="H50" s="34">
        <f>IF(AND(H$5&gt;$E50,H$5&lt;=$F50),IF(H$5=$E50+1,$C50,""),"")</f>
        <v/>
      </c>
      <c r="I50" s="34">
        <f>IF(AND(I$5&gt;$E50,I$5&lt;=$F50),IF(I$5=$E50+1,$C50,""),"")</f>
        <v/>
      </c>
      <c r="J50" s="34">
        <f>IF(AND(J$5&gt;$E50,J$5&lt;=$F50),IF(J$5=$E50+1,$C50,""),"")</f>
        <v/>
      </c>
      <c r="K50" s="34">
        <f>IF(AND(K$5&gt;$E50,K$5&lt;=$F50),IF(K$5=$E50+1,$C50,""),"")</f>
        <v/>
      </c>
      <c r="L50" s="34">
        <f>IF(AND(L$5&gt;$E50,L$5&lt;=$F50),IF(L$5=$E50+1,$C50,""),"")</f>
        <v/>
      </c>
      <c r="M50" s="34">
        <f>IF(AND(M$5&gt;$E50,M$5&lt;=$F50),IF(M$5=$E50+1,$C50,""),"")</f>
        <v/>
      </c>
      <c r="N50" s="34">
        <f>IF(AND(N$5&gt;$E50,N$5&lt;=$F50),IF(N$5=$E50+1,$C50,""),"")</f>
        <v/>
      </c>
      <c r="O50" s="34">
        <f>IF(AND(O$5&gt;$E50,O$5&lt;=$F50),IF(O$5=$E50+1,$C50,""),"")</f>
        <v/>
      </c>
      <c r="P50" s="34">
        <f>IF(AND(P$5&gt;$E50,P$5&lt;=$F50),IF(P$5=$E50+1,$C50,""),"")</f>
        <v/>
      </c>
      <c r="Q50" s="34">
        <f>IF(AND(Q$5&gt;$E50,Q$5&lt;=$F50),IF(Q$5=$E50+1,$C50,""),"")</f>
        <v/>
      </c>
      <c r="R50" s="34">
        <f>IF(AND(R$5&gt;$E50,R$5&lt;=$F50),IF(R$5=$E50+1,$C50,""),"")</f>
        <v/>
      </c>
      <c r="S50" s="34">
        <f>IF(AND(S$5&gt;$E50,S$5&lt;=$F50),IF(S$5=$E50+1,$C50,""),"")</f>
        <v/>
      </c>
      <c r="T50" s="34">
        <f>IF(AND(T$5&gt;$E50,T$5&lt;=$F50),IF(T$5=$E50+1,$C50,""),"")</f>
        <v/>
      </c>
      <c r="U50" s="34">
        <f>IF(AND(U$5&gt;$E50,U$5&lt;=$F50),IF(U$5=$E50+1,$C50,""),"")</f>
        <v/>
      </c>
      <c r="V50" s="34">
        <f>IF(AND(V$5&gt;$E50,V$5&lt;=$F50),IF(V$5=$E50+1,$C50,""),"")</f>
        <v/>
      </c>
      <c r="W50" s="34">
        <f>IF(AND(W$5&gt;$E50,W$5&lt;=$F50),IF(W$5=$E50+1,$C50,""),"")</f>
        <v/>
      </c>
      <c r="X50" s="34">
        <f>IF(AND(X$5&gt;$E50,X$5&lt;=$F50),IF(X$5=$E50+1,$C50,""),"")</f>
        <v/>
      </c>
      <c r="Y50" s="34">
        <f>IF(AND(Y$5&gt;$E50,Y$5&lt;=$F50),IF(Y$5=$E50+1,$C50,""),"")</f>
        <v/>
      </c>
      <c r="Z50" s="34">
        <f>IF(AND(Z$5&gt;$E50,Z$5&lt;=$F50),IF(Z$5=$E50+1,$C50,""),"")</f>
        <v/>
      </c>
      <c r="AA50" s="34">
        <f>IF(AND(AA$5&gt;$E50,AA$5&lt;=$F50),IF(AA$5=$E50+1,$C50,""),"")</f>
        <v/>
      </c>
      <c r="AB50" s="34">
        <f>IF(AND(AB$5&gt;$E50,AB$5&lt;=$F50),IF(AB$5=$E50+1,$C50,""),"")</f>
        <v/>
      </c>
      <c r="AC50" s="34">
        <f>IF(AND(AC$5&gt;$E50,AC$5&lt;=$F50),IF(AC$5=$E50+1,$C50,""),"")</f>
        <v/>
      </c>
      <c r="AD50" s="34">
        <f>IF(AND(AD$5&gt;$E50,AD$5&lt;=$F50),IF(AD$5=$E50+1,$C50,""),"")</f>
        <v/>
      </c>
      <c r="AE50" s="34">
        <f>IF(AND(AE$5&gt;$E50,AE$5&lt;=$F50),IF(AE$5=$E50+1,$C50,""),"")</f>
        <v/>
      </c>
      <c r="AF50" s="34">
        <f>IF(AND(AF$5&gt;$E50,AF$5&lt;=$F50),IF(AF$5=$E50+1,$C50,""),"")</f>
        <v/>
      </c>
      <c r="AG50" s="34">
        <f>IF(AND(AG$5&gt;$E50,AG$5&lt;=$F50),IF(AG$5=$E50+1,$C50,""),"")</f>
        <v/>
      </c>
      <c r="AH50" s="34">
        <f>IF(AND(AH$5&gt;$E50,AH$5&lt;=$F50),IF(AH$5=$E50+1,$C50,""),"")</f>
        <v/>
      </c>
      <c r="AI50" s="34">
        <f>IF(AND(AI$5&gt;$E50,AI$5&lt;=$F50),IF(AI$5=$E50+1,$C50,""),"")</f>
        <v/>
      </c>
      <c r="AJ50" s="34">
        <f>IF(AND(AJ$5&gt;$E50,AJ$5&lt;=$F50),IF(AJ$5=$E50+1,$C50,""),"")</f>
        <v/>
      </c>
      <c r="AK50" s="34">
        <f>IF(AND(AK$5&gt;$E50,AK$5&lt;=$F50),IF(AK$5=$E50+1,$C50,""),"")</f>
        <v/>
      </c>
      <c r="AL50" s="34">
        <f>IF(AND(AL$5&gt;$E50,AL$5&lt;=$F50),IF(AL$5=$E50+1,$C50,""),"")</f>
        <v/>
      </c>
      <c r="AM50" s="34">
        <f>IF(AND(AM$5&gt;$E50,AM$5&lt;=$F50),IF(AM$5=$E50+1,$C50,""),"")</f>
        <v/>
      </c>
      <c r="AN50" s="34">
        <f>IF(AND(AN$5&gt;$E50,AN$5&lt;=$F50),IF(AN$5=$E50+1,$C50,""),"")</f>
        <v/>
      </c>
      <c r="AO50" s="34">
        <f>IF(AND(AO$5&gt;$E50,AO$5&lt;=$F50),IF(AO$5=$E50+1,$C50,""),"")</f>
        <v/>
      </c>
      <c r="AP50" s="34">
        <f>IF(AND(AP$5&gt;$E50,AP$5&lt;=$F50),IF(AP$5=$E50+1,$C50,""),"")</f>
        <v/>
      </c>
      <c r="AQ50" s="34">
        <f>IF(AND(AQ$5&gt;$E50,AQ$5&lt;=$F50),IF(AQ$5=$E50+1,$C50,""),"")</f>
        <v/>
      </c>
      <c r="AR50" s="34">
        <f>IF(AND(AR$5&gt;$E50,AR$5&lt;=$F50),IF(AR$5=$E50+1,$C50,""),"")</f>
        <v/>
      </c>
      <c r="AS50" s="34">
        <f>IF(AND(AS$5&gt;$E50,AS$5&lt;=$F50),IF(AS$5=$E50+1,$C50,""),"")</f>
        <v/>
      </c>
      <c r="AT50" s="34">
        <f>IF(AND(AT$5&gt;$E50,AT$5&lt;=$F50),IF(AT$5=$E50+1,$C50,""),"")</f>
        <v/>
      </c>
      <c r="AU50" s="34">
        <f>IF(AND(AU$5&gt;$E50,AU$5&lt;=$F50),IF(AU$5=$E50+1,$C50,""),"")</f>
        <v/>
      </c>
      <c r="AV50" s="34">
        <f>IF(AND(AV$5&gt;$E50,AV$5&lt;=$F50),IF(AV$5=$E50+1,$C50,""),"")</f>
        <v/>
      </c>
      <c r="AW50" s="34">
        <f>IF(AND(AW$5&gt;$E50,AW$5&lt;=$F50),IF(AW$5=$E50+1,$C50,""),"")</f>
        <v/>
      </c>
      <c r="AX50" s="34">
        <f>IF(AND(AX$5&gt;$E50,AX$5&lt;=$F50),IF(AX$5=$E50+1,$C50,""),"")</f>
        <v/>
      </c>
      <c r="AY50" s="34">
        <f>IF(AND(AY$5&gt;$E50,AY$5&lt;=$F50),IF(AY$5=$E50+1,$C50,""),"")</f>
        <v/>
      </c>
      <c r="AZ50" s="34">
        <f>IF(AND(AZ$5&gt;$E50,AZ$5&lt;=$F50),IF(AZ$5=$E50+1,$C50,""),"")</f>
        <v/>
      </c>
      <c r="BA50" s="34">
        <f>IF(AND(BA$5&gt;$E50,BA$5&lt;=$F50),IF(BA$5=$E50+1,$C50,""),"")</f>
        <v/>
      </c>
      <c r="BB50" s="34">
        <f>IF(AND(BB$5&gt;$E50,BB$5&lt;=$F50),IF(BB$5=$E50+1,$C50,""),"")</f>
        <v/>
      </c>
      <c r="BC50" s="34">
        <f>IF(AND(BC$5&gt;$E50,BC$5&lt;=$F50),IF(BC$5=$E50+1,$C50,""),"")</f>
        <v/>
      </c>
      <c r="BD50" s="34">
        <f>IF(AND(BD$5&gt;$E50,BD$5&lt;=$F50),IF(BD$5=$E50+1,$C50,""),"")</f>
        <v/>
      </c>
      <c r="BE50" s="34">
        <f>IF(AND(BE$5&gt;$E50,BE$5&lt;=$F50),IF(BE$5=$E50+1,$C50,""),"")</f>
        <v/>
      </c>
      <c r="BF50" s="34">
        <f>IF(AND(BF$5&gt;$E50,BF$5&lt;=$F50),IF(BF$5=$E50+1,$C50,""),"")</f>
        <v/>
      </c>
      <c r="BG50" s="34">
        <f>IF(AND(BG$5&gt;$E50,BG$5&lt;=$F50),IF(BG$5=$E50+1,$C50,""),"")</f>
        <v/>
      </c>
      <c r="BH50" s="34">
        <f>IF(AND(BH$5&gt;$E50,BH$5&lt;=$F50),IF(BH$5=$E50+1,$C50,""),"")</f>
        <v/>
      </c>
      <c r="BI50" s="34">
        <f>IF(AND(BI$5&gt;$E50,BI$5&lt;=$F50),IF(BI$5=$E50+1,$C50,""),"")</f>
        <v/>
      </c>
      <c r="BJ50" s="34">
        <f>IF(AND(BJ$5&gt;$E50,BJ$5&lt;=$F50),IF(BJ$5=$E50+1,$C50,""),"")</f>
        <v/>
      </c>
      <c r="BK50" s="34">
        <f>IF(AND(BK$5&gt;$E50,BK$5&lt;=$F50),IF(BK$5=$E50+1,$C50,""),"")</f>
        <v/>
      </c>
      <c r="BL50" s="34">
        <f>IF(AND(BL$5&gt;$E50,BL$5&lt;=$F50),IF(BL$5=$E50+1,$C50,""),"")</f>
        <v/>
      </c>
      <c r="BM50" s="34">
        <f>IF(AND(BM$5&gt;$E50,BM$5&lt;=$F50),IF(BM$5=$E50+1,$C50,""),"")</f>
        <v/>
      </c>
      <c r="BN50" s="34">
        <f>IF(AND(BN$5&gt;$E50,BN$5&lt;=$F50),IF(BN$5=$E50+1,$C50,""),"")</f>
        <v/>
      </c>
      <c r="BO50" s="34">
        <f>IF(AND(BO$5&gt;$E50,BO$5&lt;=$F50),IF(BO$5=$E50+1,$C50,""),"")</f>
        <v/>
      </c>
      <c r="BP50" s="34">
        <f>IF(AND(BP$5&gt;$E50,BP$5&lt;=$F50),IF(BP$5=$E50+1,$C50,""),"")</f>
        <v/>
      </c>
      <c r="BQ50" s="34">
        <f>IF(AND(BQ$5&gt;$E50,BQ$5&lt;=$F50),IF(BQ$5=$E50+1,$C50,""),"")</f>
        <v/>
      </c>
      <c r="BR50" s="34">
        <f>IF(AND(BR$5&gt;$E50,BR$5&lt;=$F50),IF(BR$5=$E50+1,$C50,""),"")</f>
        <v/>
      </c>
      <c r="BS50" s="34">
        <f>IF(AND(BS$5&gt;$E50,BS$5&lt;=$F50),IF(BS$5=$E50+1,$C50,""),"")</f>
        <v/>
      </c>
      <c r="BT50" s="34">
        <f>IF(AND(BT$5&gt;$E50,BT$5&lt;=$F50),IF(BT$5=$E50+1,$C50,""),"")</f>
        <v/>
      </c>
      <c r="BU50" s="34">
        <f>IF(AND(BU$5&gt;$E50,BU$5&lt;=$F50),IF(BU$5=$E50+1,$C50,""),"")</f>
        <v/>
      </c>
      <c r="BV50" s="34">
        <f>IF(AND(BV$5&gt;$E50,BV$5&lt;=$F50),IF(BV$5=$E50+1,$C50,""),"")</f>
        <v/>
      </c>
      <c r="BW50" s="34">
        <f>IF(AND(BW$5&gt;$E50,BW$5&lt;=$F50),IF(BW$5=$E50+1,$C50,""),"")</f>
        <v/>
      </c>
      <c r="BX50" s="34">
        <f>IF(AND(BX$5&gt;$E50,BX$5&lt;=$F50),IF(BX$5=$E50+1,$C50,""),"")</f>
        <v/>
      </c>
      <c r="BY50" s="34">
        <f>IF(AND(BY$5&gt;$E50,BY$5&lt;=$F50),IF(BY$5=$E50+1,$C50,""),"")</f>
        <v/>
      </c>
      <c r="BZ50" s="34">
        <f>IF(AND(BZ$5&gt;$E50,BZ$5&lt;=$F50),IF(BZ$5=$E50+1,$C50,""),"")</f>
        <v/>
      </c>
      <c r="CA50" s="34">
        <f>IF(AND(CA$5&gt;$E50,CA$5&lt;=$F50),IF(CA$5=$E50+1,$C50,""),"")</f>
        <v/>
      </c>
      <c r="CB50" s="34">
        <f>IF(AND(CB$5&gt;$E50,CB$5&lt;=$F50),IF(CB$5=$E50+1,$C50,""),"")</f>
        <v/>
      </c>
      <c r="CC50" s="34">
        <f>IF(AND(CC$5&gt;$E50,CC$5&lt;=$F50),IF(CC$5=$E50+1,$C50,""),"")</f>
        <v/>
      </c>
      <c r="CD50" s="34">
        <f>IF(AND(CD$5&gt;$E50,CD$5&lt;=$F50),IF(CD$5=$E50+1,$C50,""),"")</f>
        <v/>
      </c>
      <c r="CE50" s="34">
        <f>IF(AND(CE$5&gt;$E50,CE$5&lt;=$F50),IF(CE$5=$E50+1,$C50,""),"")</f>
        <v/>
      </c>
      <c r="CF50" s="34">
        <f>IF(AND(CF$5&gt;$E50,CF$5&lt;=$F50),IF(CF$5=$E50+1,$C50,""),"")</f>
        <v/>
      </c>
      <c r="CG50" s="34">
        <f>IF(AND(CG$5&gt;$E50,CG$5&lt;=$F50),IF(CG$5=$E50+1,$C50,""),"")</f>
        <v/>
      </c>
      <c r="CH50" s="34">
        <f>IF(AND(CH$5&gt;$E50,CH$5&lt;=$F50),IF(CH$5=$E50+1,$C50,""),"")</f>
        <v/>
      </c>
      <c r="CI50" s="34">
        <f>IF(AND(CI$5&gt;$E50,CI$5&lt;=$F50),IF(CI$5=$E50+1,$C50,""),"")</f>
        <v/>
      </c>
      <c r="CJ50" s="34">
        <f>IF(AND(CJ$5&gt;$E50,CJ$5&lt;=$F50),IF(CJ$5=$E50+1,$C50,""),"")</f>
        <v/>
      </c>
      <c r="CK50" s="34">
        <f>IF(AND(CK$5&gt;$E50,CK$5&lt;=$F50),IF(CK$5=$E50+1,$C50,""),"")</f>
        <v/>
      </c>
      <c r="CL50" s="34">
        <f>IF(AND(CL$5&gt;$E50,CL$5&lt;=$F50),IF(CL$5=$E50+1,$C50,""),"")</f>
        <v/>
      </c>
      <c r="CM50" s="34">
        <f>IF(AND(CM$5&gt;$E50,CM$5&lt;=$F50),IF(CM$5=$E50+1,$C50,""),"")</f>
        <v/>
      </c>
      <c r="CN50" s="34">
        <f>IF(AND(CN$5&gt;$E50,CN$5&lt;=$F50),IF(CN$5=$E50+1,$C50,""),"")</f>
        <v/>
      </c>
      <c r="CO50" s="34">
        <f>IF(AND(CO$5&gt;$E50,CO$5&lt;=$F50),IF(CO$5=$E50+1,$C50,""),"")</f>
        <v/>
      </c>
      <c r="CP50" s="34">
        <f>IF(AND(CP$5&gt;$E50,CP$5&lt;=$F50),IF(CP$5=$E50+1,$C50,""),"")</f>
        <v/>
      </c>
      <c r="CQ50" s="34">
        <f>IF(AND(CQ$5&gt;$E50,CQ$5&lt;=$F50),IF(CQ$5=$E50+1,$C50,""),"")</f>
        <v/>
      </c>
      <c r="CR50" s="34">
        <f>IF(AND(CR$5&gt;$E50,CR$5&lt;=$F50),IF(CR$5=$E50+1,$C50,""),"")</f>
        <v/>
      </c>
      <c r="CS50" s="34">
        <f>IF(AND(CS$5&gt;$E50,CS$5&lt;=$F50),IF(CS$5=$E50+1,$C50,""),"")</f>
        <v/>
      </c>
    </row>
    <row r="51">
      <c r="A51" s="32">
        <f>Plan!A43</f>
        <v/>
      </c>
      <c r="B51" s="33">
        <f>Plan!C43</f>
        <v/>
      </c>
      <c r="C51" s="16">
        <f>Plan!D43</f>
        <v/>
      </c>
      <c r="D51" s="16">
        <f>Plan!I43</f>
        <v/>
      </c>
      <c r="E51" s="16">
        <f>Plan!K43</f>
        <v/>
      </c>
      <c r="F51" s="16">
        <f>Plan!L43</f>
        <v/>
      </c>
      <c r="G51" s="16">
        <f>Plan!O43</f>
        <v/>
      </c>
      <c r="H51" s="34">
        <f>IF(AND(H$5&gt;$E51,H$5&lt;=$F51),IF(H$5=$E51+1,$C51,""),"")</f>
        <v/>
      </c>
      <c r="I51" s="34">
        <f>IF(AND(I$5&gt;$E51,I$5&lt;=$F51),IF(I$5=$E51+1,$C51,""),"")</f>
        <v/>
      </c>
      <c r="J51" s="34">
        <f>IF(AND(J$5&gt;$E51,J$5&lt;=$F51),IF(J$5=$E51+1,$C51,""),"")</f>
        <v/>
      </c>
      <c r="K51" s="34">
        <f>IF(AND(K$5&gt;$E51,K$5&lt;=$F51),IF(K$5=$E51+1,$C51,""),"")</f>
        <v/>
      </c>
      <c r="L51" s="34">
        <f>IF(AND(L$5&gt;$E51,L$5&lt;=$F51),IF(L$5=$E51+1,$C51,""),"")</f>
        <v/>
      </c>
      <c r="M51" s="34">
        <f>IF(AND(M$5&gt;$E51,M$5&lt;=$F51),IF(M$5=$E51+1,$C51,""),"")</f>
        <v/>
      </c>
      <c r="N51" s="34">
        <f>IF(AND(N$5&gt;$E51,N$5&lt;=$F51),IF(N$5=$E51+1,$C51,""),"")</f>
        <v/>
      </c>
      <c r="O51" s="34">
        <f>IF(AND(O$5&gt;$E51,O$5&lt;=$F51),IF(O$5=$E51+1,$C51,""),"")</f>
        <v/>
      </c>
      <c r="P51" s="34">
        <f>IF(AND(P$5&gt;$E51,P$5&lt;=$F51),IF(P$5=$E51+1,$C51,""),"")</f>
        <v/>
      </c>
      <c r="Q51" s="34">
        <f>IF(AND(Q$5&gt;$E51,Q$5&lt;=$F51),IF(Q$5=$E51+1,$C51,""),"")</f>
        <v/>
      </c>
      <c r="R51" s="34">
        <f>IF(AND(R$5&gt;$E51,R$5&lt;=$F51),IF(R$5=$E51+1,$C51,""),"")</f>
        <v/>
      </c>
      <c r="S51" s="34">
        <f>IF(AND(S$5&gt;$E51,S$5&lt;=$F51),IF(S$5=$E51+1,$C51,""),"")</f>
        <v/>
      </c>
      <c r="T51" s="34">
        <f>IF(AND(T$5&gt;$E51,T$5&lt;=$F51),IF(T$5=$E51+1,$C51,""),"")</f>
        <v/>
      </c>
      <c r="U51" s="34">
        <f>IF(AND(U$5&gt;$E51,U$5&lt;=$F51),IF(U$5=$E51+1,$C51,""),"")</f>
        <v/>
      </c>
      <c r="V51" s="34">
        <f>IF(AND(V$5&gt;$E51,V$5&lt;=$F51),IF(V$5=$E51+1,$C51,""),"")</f>
        <v/>
      </c>
      <c r="W51" s="34">
        <f>IF(AND(W$5&gt;$E51,W$5&lt;=$F51),IF(W$5=$E51+1,$C51,""),"")</f>
        <v/>
      </c>
      <c r="X51" s="34">
        <f>IF(AND(X$5&gt;$E51,X$5&lt;=$F51),IF(X$5=$E51+1,$C51,""),"")</f>
        <v/>
      </c>
      <c r="Y51" s="34">
        <f>IF(AND(Y$5&gt;$E51,Y$5&lt;=$F51),IF(Y$5=$E51+1,$C51,""),"")</f>
        <v/>
      </c>
      <c r="Z51" s="34">
        <f>IF(AND(Z$5&gt;$E51,Z$5&lt;=$F51),IF(Z$5=$E51+1,$C51,""),"")</f>
        <v/>
      </c>
      <c r="AA51" s="34">
        <f>IF(AND(AA$5&gt;$E51,AA$5&lt;=$F51),IF(AA$5=$E51+1,$C51,""),"")</f>
        <v/>
      </c>
      <c r="AB51" s="34">
        <f>IF(AND(AB$5&gt;$E51,AB$5&lt;=$F51),IF(AB$5=$E51+1,$C51,""),"")</f>
        <v/>
      </c>
      <c r="AC51" s="34">
        <f>IF(AND(AC$5&gt;$E51,AC$5&lt;=$F51),IF(AC$5=$E51+1,$C51,""),"")</f>
        <v/>
      </c>
      <c r="AD51" s="34">
        <f>IF(AND(AD$5&gt;$E51,AD$5&lt;=$F51),IF(AD$5=$E51+1,$C51,""),"")</f>
        <v/>
      </c>
      <c r="AE51" s="34">
        <f>IF(AND(AE$5&gt;$E51,AE$5&lt;=$F51),IF(AE$5=$E51+1,$C51,""),"")</f>
        <v/>
      </c>
      <c r="AF51" s="34">
        <f>IF(AND(AF$5&gt;$E51,AF$5&lt;=$F51),IF(AF$5=$E51+1,$C51,""),"")</f>
        <v/>
      </c>
      <c r="AG51" s="34">
        <f>IF(AND(AG$5&gt;$E51,AG$5&lt;=$F51),IF(AG$5=$E51+1,$C51,""),"")</f>
        <v/>
      </c>
      <c r="AH51" s="34">
        <f>IF(AND(AH$5&gt;$E51,AH$5&lt;=$F51),IF(AH$5=$E51+1,$C51,""),"")</f>
        <v/>
      </c>
      <c r="AI51" s="34">
        <f>IF(AND(AI$5&gt;$E51,AI$5&lt;=$F51),IF(AI$5=$E51+1,$C51,""),"")</f>
        <v/>
      </c>
      <c r="AJ51" s="34">
        <f>IF(AND(AJ$5&gt;$E51,AJ$5&lt;=$F51),IF(AJ$5=$E51+1,$C51,""),"")</f>
        <v/>
      </c>
      <c r="AK51" s="34">
        <f>IF(AND(AK$5&gt;$E51,AK$5&lt;=$F51),IF(AK$5=$E51+1,$C51,""),"")</f>
        <v/>
      </c>
      <c r="AL51" s="34">
        <f>IF(AND(AL$5&gt;$E51,AL$5&lt;=$F51),IF(AL$5=$E51+1,$C51,""),"")</f>
        <v/>
      </c>
      <c r="AM51" s="34">
        <f>IF(AND(AM$5&gt;$E51,AM$5&lt;=$F51),IF(AM$5=$E51+1,$C51,""),"")</f>
        <v/>
      </c>
      <c r="AN51" s="34">
        <f>IF(AND(AN$5&gt;$E51,AN$5&lt;=$F51),IF(AN$5=$E51+1,$C51,""),"")</f>
        <v/>
      </c>
      <c r="AO51" s="34">
        <f>IF(AND(AO$5&gt;$E51,AO$5&lt;=$F51),IF(AO$5=$E51+1,$C51,""),"")</f>
        <v/>
      </c>
      <c r="AP51" s="34">
        <f>IF(AND(AP$5&gt;$E51,AP$5&lt;=$F51),IF(AP$5=$E51+1,$C51,""),"")</f>
        <v/>
      </c>
      <c r="AQ51" s="34">
        <f>IF(AND(AQ$5&gt;$E51,AQ$5&lt;=$F51),IF(AQ$5=$E51+1,$C51,""),"")</f>
        <v/>
      </c>
      <c r="AR51" s="34">
        <f>IF(AND(AR$5&gt;$E51,AR$5&lt;=$F51),IF(AR$5=$E51+1,$C51,""),"")</f>
        <v/>
      </c>
      <c r="AS51" s="34">
        <f>IF(AND(AS$5&gt;$E51,AS$5&lt;=$F51),IF(AS$5=$E51+1,$C51,""),"")</f>
        <v/>
      </c>
      <c r="AT51" s="34">
        <f>IF(AND(AT$5&gt;$E51,AT$5&lt;=$F51),IF(AT$5=$E51+1,$C51,""),"")</f>
        <v/>
      </c>
      <c r="AU51" s="34">
        <f>IF(AND(AU$5&gt;$E51,AU$5&lt;=$F51),IF(AU$5=$E51+1,$C51,""),"")</f>
        <v/>
      </c>
      <c r="AV51" s="34">
        <f>IF(AND(AV$5&gt;$E51,AV$5&lt;=$F51),IF(AV$5=$E51+1,$C51,""),"")</f>
        <v/>
      </c>
      <c r="AW51" s="34">
        <f>IF(AND(AW$5&gt;$E51,AW$5&lt;=$F51),IF(AW$5=$E51+1,$C51,""),"")</f>
        <v/>
      </c>
      <c r="AX51" s="34">
        <f>IF(AND(AX$5&gt;$E51,AX$5&lt;=$F51),IF(AX$5=$E51+1,$C51,""),"")</f>
        <v/>
      </c>
      <c r="AY51" s="34">
        <f>IF(AND(AY$5&gt;$E51,AY$5&lt;=$F51),IF(AY$5=$E51+1,$C51,""),"")</f>
        <v/>
      </c>
      <c r="AZ51" s="34">
        <f>IF(AND(AZ$5&gt;$E51,AZ$5&lt;=$F51),IF(AZ$5=$E51+1,$C51,""),"")</f>
        <v/>
      </c>
      <c r="BA51" s="34">
        <f>IF(AND(BA$5&gt;$E51,BA$5&lt;=$F51),IF(BA$5=$E51+1,$C51,""),"")</f>
        <v/>
      </c>
      <c r="BB51" s="34">
        <f>IF(AND(BB$5&gt;$E51,BB$5&lt;=$F51),IF(BB$5=$E51+1,$C51,""),"")</f>
        <v/>
      </c>
      <c r="BC51" s="34">
        <f>IF(AND(BC$5&gt;$E51,BC$5&lt;=$F51),IF(BC$5=$E51+1,$C51,""),"")</f>
        <v/>
      </c>
      <c r="BD51" s="34">
        <f>IF(AND(BD$5&gt;$E51,BD$5&lt;=$F51),IF(BD$5=$E51+1,$C51,""),"")</f>
        <v/>
      </c>
      <c r="BE51" s="34">
        <f>IF(AND(BE$5&gt;$E51,BE$5&lt;=$F51),IF(BE$5=$E51+1,$C51,""),"")</f>
        <v/>
      </c>
      <c r="BF51" s="34">
        <f>IF(AND(BF$5&gt;$E51,BF$5&lt;=$F51),IF(BF$5=$E51+1,$C51,""),"")</f>
        <v/>
      </c>
      <c r="BG51" s="34">
        <f>IF(AND(BG$5&gt;$E51,BG$5&lt;=$F51),IF(BG$5=$E51+1,$C51,""),"")</f>
        <v/>
      </c>
      <c r="BH51" s="34">
        <f>IF(AND(BH$5&gt;$E51,BH$5&lt;=$F51),IF(BH$5=$E51+1,$C51,""),"")</f>
        <v/>
      </c>
      <c r="BI51" s="34">
        <f>IF(AND(BI$5&gt;$E51,BI$5&lt;=$F51),IF(BI$5=$E51+1,$C51,""),"")</f>
        <v/>
      </c>
      <c r="BJ51" s="34">
        <f>IF(AND(BJ$5&gt;$E51,BJ$5&lt;=$F51),IF(BJ$5=$E51+1,$C51,""),"")</f>
        <v/>
      </c>
      <c r="BK51" s="34">
        <f>IF(AND(BK$5&gt;$E51,BK$5&lt;=$F51),IF(BK$5=$E51+1,$C51,""),"")</f>
        <v/>
      </c>
      <c r="BL51" s="34">
        <f>IF(AND(BL$5&gt;$E51,BL$5&lt;=$F51),IF(BL$5=$E51+1,$C51,""),"")</f>
        <v/>
      </c>
      <c r="BM51" s="34">
        <f>IF(AND(BM$5&gt;$E51,BM$5&lt;=$F51),IF(BM$5=$E51+1,$C51,""),"")</f>
        <v/>
      </c>
      <c r="BN51" s="34">
        <f>IF(AND(BN$5&gt;$E51,BN$5&lt;=$F51),IF(BN$5=$E51+1,$C51,""),"")</f>
        <v/>
      </c>
      <c r="BO51" s="34">
        <f>IF(AND(BO$5&gt;$E51,BO$5&lt;=$F51),IF(BO$5=$E51+1,$C51,""),"")</f>
        <v/>
      </c>
      <c r="BP51" s="34">
        <f>IF(AND(BP$5&gt;$E51,BP$5&lt;=$F51),IF(BP$5=$E51+1,$C51,""),"")</f>
        <v/>
      </c>
      <c r="BQ51" s="34">
        <f>IF(AND(BQ$5&gt;$E51,BQ$5&lt;=$F51),IF(BQ$5=$E51+1,$C51,""),"")</f>
        <v/>
      </c>
      <c r="BR51" s="34">
        <f>IF(AND(BR$5&gt;$E51,BR$5&lt;=$F51),IF(BR$5=$E51+1,$C51,""),"")</f>
        <v/>
      </c>
      <c r="BS51" s="34">
        <f>IF(AND(BS$5&gt;$E51,BS$5&lt;=$F51),IF(BS$5=$E51+1,$C51,""),"")</f>
        <v/>
      </c>
      <c r="BT51" s="34">
        <f>IF(AND(BT$5&gt;$E51,BT$5&lt;=$F51),IF(BT$5=$E51+1,$C51,""),"")</f>
        <v/>
      </c>
      <c r="BU51" s="34">
        <f>IF(AND(BU$5&gt;$E51,BU$5&lt;=$F51),IF(BU$5=$E51+1,$C51,""),"")</f>
        <v/>
      </c>
      <c r="BV51" s="34">
        <f>IF(AND(BV$5&gt;$E51,BV$5&lt;=$F51),IF(BV$5=$E51+1,$C51,""),"")</f>
        <v/>
      </c>
      <c r="BW51" s="34">
        <f>IF(AND(BW$5&gt;$E51,BW$5&lt;=$F51),IF(BW$5=$E51+1,$C51,""),"")</f>
        <v/>
      </c>
      <c r="BX51" s="34">
        <f>IF(AND(BX$5&gt;$E51,BX$5&lt;=$F51),IF(BX$5=$E51+1,$C51,""),"")</f>
        <v/>
      </c>
      <c r="BY51" s="34">
        <f>IF(AND(BY$5&gt;$E51,BY$5&lt;=$F51),IF(BY$5=$E51+1,$C51,""),"")</f>
        <v/>
      </c>
      <c r="BZ51" s="34">
        <f>IF(AND(BZ$5&gt;$E51,BZ$5&lt;=$F51),IF(BZ$5=$E51+1,$C51,""),"")</f>
        <v/>
      </c>
      <c r="CA51" s="34">
        <f>IF(AND(CA$5&gt;$E51,CA$5&lt;=$F51),IF(CA$5=$E51+1,$C51,""),"")</f>
        <v/>
      </c>
      <c r="CB51" s="34">
        <f>IF(AND(CB$5&gt;$E51,CB$5&lt;=$F51),IF(CB$5=$E51+1,$C51,""),"")</f>
        <v/>
      </c>
      <c r="CC51" s="34">
        <f>IF(AND(CC$5&gt;$E51,CC$5&lt;=$F51),IF(CC$5=$E51+1,$C51,""),"")</f>
        <v/>
      </c>
      <c r="CD51" s="34">
        <f>IF(AND(CD$5&gt;$E51,CD$5&lt;=$F51),IF(CD$5=$E51+1,$C51,""),"")</f>
        <v/>
      </c>
      <c r="CE51" s="34">
        <f>IF(AND(CE$5&gt;$E51,CE$5&lt;=$F51),IF(CE$5=$E51+1,$C51,""),"")</f>
        <v/>
      </c>
      <c r="CF51" s="34">
        <f>IF(AND(CF$5&gt;$E51,CF$5&lt;=$F51),IF(CF$5=$E51+1,$C51,""),"")</f>
        <v/>
      </c>
      <c r="CG51" s="34">
        <f>IF(AND(CG$5&gt;$E51,CG$5&lt;=$F51),IF(CG$5=$E51+1,$C51,""),"")</f>
        <v/>
      </c>
      <c r="CH51" s="34">
        <f>IF(AND(CH$5&gt;$E51,CH$5&lt;=$F51),IF(CH$5=$E51+1,$C51,""),"")</f>
        <v/>
      </c>
      <c r="CI51" s="34">
        <f>IF(AND(CI$5&gt;$E51,CI$5&lt;=$F51),IF(CI$5=$E51+1,$C51,""),"")</f>
        <v/>
      </c>
      <c r="CJ51" s="34">
        <f>IF(AND(CJ$5&gt;$E51,CJ$5&lt;=$F51),IF(CJ$5=$E51+1,$C51,""),"")</f>
        <v/>
      </c>
      <c r="CK51" s="34">
        <f>IF(AND(CK$5&gt;$E51,CK$5&lt;=$F51),IF(CK$5=$E51+1,$C51,""),"")</f>
        <v/>
      </c>
      <c r="CL51" s="34">
        <f>IF(AND(CL$5&gt;$E51,CL$5&lt;=$F51),IF(CL$5=$E51+1,$C51,""),"")</f>
        <v/>
      </c>
      <c r="CM51" s="34">
        <f>IF(AND(CM$5&gt;$E51,CM$5&lt;=$F51),IF(CM$5=$E51+1,$C51,""),"")</f>
        <v/>
      </c>
      <c r="CN51" s="34">
        <f>IF(AND(CN$5&gt;$E51,CN$5&lt;=$F51),IF(CN$5=$E51+1,$C51,""),"")</f>
        <v/>
      </c>
      <c r="CO51" s="34">
        <f>IF(AND(CO$5&gt;$E51,CO$5&lt;=$F51),IF(CO$5=$E51+1,$C51,""),"")</f>
        <v/>
      </c>
      <c r="CP51" s="34">
        <f>IF(AND(CP$5&gt;$E51,CP$5&lt;=$F51),IF(CP$5=$E51+1,$C51,""),"")</f>
        <v/>
      </c>
      <c r="CQ51" s="34">
        <f>IF(AND(CQ$5&gt;$E51,CQ$5&lt;=$F51),IF(CQ$5=$E51+1,$C51,""),"")</f>
        <v/>
      </c>
      <c r="CR51" s="34">
        <f>IF(AND(CR$5&gt;$E51,CR$5&lt;=$F51),IF(CR$5=$E51+1,$C51,""),"")</f>
        <v/>
      </c>
      <c r="CS51" s="34">
        <f>IF(AND(CS$5&gt;$E51,CS$5&lt;=$F51),IF(CS$5=$E51+1,$C51,""),"")</f>
        <v/>
      </c>
    </row>
    <row r="52">
      <c r="A52" s="32">
        <f>Plan!A44</f>
        <v/>
      </c>
      <c r="B52" s="33">
        <f>Plan!C44</f>
        <v/>
      </c>
      <c r="C52" s="16">
        <f>Plan!D44</f>
        <v/>
      </c>
      <c r="D52" s="16">
        <f>Plan!I44</f>
        <v/>
      </c>
      <c r="E52" s="16">
        <f>Plan!K44</f>
        <v/>
      </c>
      <c r="F52" s="16">
        <f>Plan!L44</f>
        <v/>
      </c>
      <c r="G52" s="16">
        <f>Plan!O44</f>
        <v/>
      </c>
      <c r="H52" s="34">
        <f>IF(AND(H$5&gt;$E52,H$5&lt;=$F52),IF(H$5=$E52+1,$C52,""),"")</f>
        <v/>
      </c>
      <c r="I52" s="34">
        <f>IF(AND(I$5&gt;$E52,I$5&lt;=$F52),IF(I$5=$E52+1,$C52,""),"")</f>
        <v/>
      </c>
      <c r="J52" s="34">
        <f>IF(AND(J$5&gt;$E52,J$5&lt;=$F52),IF(J$5=$E52+1,$C52,""),"")</f>
        <v/>
      </c>
      <c r="K52" s="34">
        <f>IF(AND(K$5&gt;$E52,K$5&lt;=$F52),IF(K$5=$E52+1,$C52,""),"")</f>
        <v/>
      </c>
      <c r="L52" s="34">
        <f>IF(AND(L$5&gt;$E52,L$5&lt;=$F52),IF(L$5=$E52+1,$C52,""),"")</f>
        <v/>
      </c>
      <c r="M52" s="34">
        <f>IF(AND(M$5&gt;$E52,M$5&lt;=$F52),IF(M$5=$E52+1,$C52,""),"")</f>
        <v/>
      </c>
      <c r="N52" s="34">
        <f>IF(AND(N$5&gt;$E52,N$5&lt;=$F52),IF(N$5=$E52+1,$C52,""),"")</f>
        <v/>
      </c>
      <c r="O52" s="34">
        <f>IF(AND(O$5&gt;$E52,O$5&lt;=$F52),IF(O$5=$E52+1,$C52,""),"")</f>
        <v/>
      </c>
      <c r="P52" s="34">
        <f>IF(AND(P$5&gt;$E52,P$5&lt;=$F52),IF(P$5=$E52+1,$C52,""),"")</f>
        <v/>
      </c>
      <c r="Q52" s="34">
        <f>IF(AND(Q$5&gt;$E52,Q$5&lt;=$F52),IF(Q$5=$E52+1,$C52,""),"")</f>
        <v/>
      </c>
      <c r="R52" s="34">
        <f>IF(AND(R$5&gt;$E52,R$5&lt;=$F52),IF(R$5=$E52+1,$C52,""),"")</f>
        <v/>
      </c>
      <c r="S52" s="34">
        <f>IF(AND(S$5&gt;$E52,S$5&lt;=$F52),IF(S$5=$E52+1,$C52,""),"")</f>
        <v/>
      </c>
      <c r="T52" s="34">
        <f>IF(AND(T$5&gt;$E52,T$5&lt;=$F52),IF(T$5=$E52+1,$C52,""),"")</f>
        <v/>
      </c>
      <c r="U52" s="34">
        <f>IF(AND(U$5&gt;$E52,U$5&lt;=$F52),IF(U$5=$E52+1,$C52,""),"")</f>
        <v/>
      </c>
      <c r="V52" s="34">
        <f>IF(AND(V$5&gt;$E52,V$5&lt;=$F52),IF(V$5=$E52+1,$C52,""),"")</f>
        <v/>
      </c>
      <c r="W52" s="34">
        <f>IF(AND(W$5&gt;$E52,W$5&lt;=$F52),IF(W$5=$E52+1,$C52,""),"")</f>
        <v/>
      </c>
      <c r="X52" s="34">
        <f>IF(AND(X$5&gt;$E52,X$5&lt;=$F52),IF(X$5=$E52+1,$C52,""),"")</f>
        <v/>
      </c>
      <c r="Y52" s="34">
        <f>IF(AND(Y$5&gt;$E52,Y$5&lt;=$F52),IF(Y$5=$E52+1,$C52,""),"")</f>
        <v/>
      </c>
      <c r="Z52" s="34">
        <f>IF(AND(Z$5&gt;$E52,Z$5&lt;=$F52),IF(Z$5=$E52+1,$C52,""),"")</f>
        <v/>
      </c>
      <c r="AA52" s="34">
        <f>IF(AND(AA$5&gt;$E52,AA$5&lt;=$F52),IF(AA$5=$E52+1,$C52,""),"")</f>
        <v/>
      </c>
      <c r="AB52" s="34">
        <f>IF(AND(AB$5&gt;$E52,AB$5&lt;=$F52),IF(AB$5=$E52+1,$C52,""),"")</f>
        <v/>
      </c>
      <c r="AC52" s="34">
        <f>IF(AND(AC$5&gt;$E52,AC$5&lt;=$F52),IF(AC$5=$E52+1,$C52,""),"")</f>
        <v/>
      </c>
      <c r="AD52" s="34">
        <f>IF(AND(AD$5&gt;$E52,AD$5&lt;=$F52),IF(AD$5=$E52+1,$C52,""),"")</f>
        <v/>
      </c>
      <c r="AE52" s="34">
        <f>IF(AND(AE$5&gt;$E52,AE$5&lt;=$F52),IF(AE$5=$E52+1,$C52,""),"")</f>
        <v/>
      </c>
      <c r="AF52" s="34">
        <f>IF(AND(AF$5&gt;$E52,AF$5&lt;=$F52),IF(AF$5=$E52+1,$C52,""),"")</f>
        <v/>
      </c>
      <c r="AG52" s="34">
        <f>IF(AND(AG$5&gt;$E52,AG$5&lt;=$F52),IF(AG$5=$E52+1,$C52,""),"")</f>
        <v/>
      </c>
      <c r="AH52" s="34">
        <f>IF(AND(AH$5&gt;$E52,AH$5&lt;=$F52),IF(AH$5=$E52+1,$C52,""),"")</f>
        <v/>
      </c>
      <c r="AI52" s="34">
        <f>IF(AND(AI$5&gt;$E52,AI$5&lt;=$F52),IF(AI$5=$E52+1,$C52,""),"")</f>
        <v/>
      </c>
      <c r="AJ52" s="34">
        <f>IF(AND(AJ$5&gt;$E52,AJ$5&lt;=$F52),IF(AJ$5=$E52+1,$C52,""),"")</f>
        <v/>
      </c>
      <c r="AK52" s="34">
        <f>IF(AND(AK$5&gt;$E52,AK$5&lt;=$F52),IF(AK$5=$E52+1,$C52,""),"")</f>
        <v/>
      </c>
      <c r="AL52" s="34">
        <f>IF(AND(AL$5&gt;$E52,AL$5&lt;=$F52),IF(AL$5=$E52+1,$C52,""),"")</f>
        <v/>
      </c>
      <c r="AM52" s="34">
        <f>IF(AND(AM$5&gt;$E52,AM$5&lt;=$F52),IF(AM$5=$E52+1,$C52,""),"")</f>
        <v/>
      </c>
      <c r="AN52" s="34">
        <f>IF(AND(AN$5&gt;$E52,AN$5&lt;=$F52),IF(AN$5=$E52+1,$C52,""),"")</f>
        <v/>
      </c>
      <c r="AO52" s="34">
        <f>IF(AND(AO$5&gt;$E52,AO$5&lt;=$F52),IF(AO$5=$E52+1,$C52,""),"")</f>
        <v/>
      </c>
      <c r="AP52" s="34">
        <f>IF(AND(AP$5&gt;$E52,AP$5&lt;=$F52),IF(AP$5=$E52+1,$C52,""),"")</f>
        <v/>
      </c>
      <c r="AQ52" s="34">
        <f>IF(AND(AQ$5&gt;$E52,AQ$5&lt;=$F52),IF(AQ$5=$E52+1,$C52,""),"")</f>
        <v/>
      </c>
      <c r="AR52" s="34">
        <f>IF(AND(AR$5&gt;$E52,AR$5&lt;=$F52),IF(AR$5=$E52+1,$C52,""),"")</f>
        <v/>
      </c>
      <c r="AS52" s="34">
        <f>IF(AND(AS$5&gt;$E52,AS$5&lt;=$F52),IF(AS$5=$E52+1,$C52,""),"")</f>
        <v/>
      </c>
      <c r="AT52" s="34">
        <f>IF(AND(AT$5&gt;$E52,AT$5&lt;=$F52),IF(AT$5=$E52+1,$C52,""),"")</f>
        <v/>
      </c>
      <c r="AU52" s="34">
        <f>IF(AND(AU$5&gt;$E52,AU$5&lt;=$F52),IF(AU$5=$E52+1,$C52,""),"")</f>
        <v/>
      </c>
      <c r="AV52" s="34">
        <f>IF(AND(AV$5&gt;$E52,AV$5&lt;=$F52),IF(AV$5=$E52+1,$C52,""),"")</f>
        <v/>
      </c>
      <c r="AW52" s="34">
        <f>IF(AND(AW$5&gt;$E52,AW$5&lt;=$F52),IF(AW$5=$E52+1,$C52,""),"")</f>
        <v/>
      </c>
      <c r="AX52" s="34">
        <f>IF(AND(AX$5&gt;$E52,AX$5&lt;=$F52),IF(AX$5=$E52+1,$C52,""),"")</f>
        <v/>
      </c>
      <c r="AY52" s="34">
        <f>IF(AND(AY$5&gt;$E52,AY$5&lt;=$F52),IF(AY$5=$E52+1,$C52,""),"")</f>
        <v/>
      </c>
      <c r="AZ52" s="34">
        <f>IF(AND(AZ$5&gt;$E52,AZ$5&lt;=$F52),IF(AZ$5=$E52+1,$C52,""),"")</f>
        <v/>
      </c>
      <c r="BA52" s="34">
        <f>IF(AND(BA$5&gt;$E52,BA$5&lt;=$F52),IF(BA$5=$E52+1,$C52,""),"")</f>
        <v/>
      </c>
      <c r="BB52" s="34">
        <f>IF(AND(BB$5&gt;$E52,BB$5&lt;=$F52),IF(BB$5=$E52+1,$C52,""),"")</f>
        <v/>
      </c>
      <c r="BC52" s="34">
        <f>IF(AND(BC$5&gt;$E52,BC$5&lt;=$F52),IF(BC$5=$E52+1,$C52,""),"")</f>
        <v/>
      </c>
      <c r="BD52" s="34">
        <f>IF(AND(BD$5&gt;$E52,BD$5&lt;=$F52),IF(BD$5=$E52+1,$C52,""),"")</f>
        <v/>
      </c>
      <c r="BE52" s="34">
        <f>IF(AND(BE$5&gt;$E52,BE$5&lt;=$F52),IF(BE$5=$E52+1,$C52,""),"")</f>
        <v/>
      </c>
      <c r="BF52" s="34">
        <f>IF(AND(BF$5&gt;$E52,BF$5&lt;=$F52),IF(BF$5=$E52+1,$C52,""),"")</f>
        <v/>
      </c>
      <c r="BG52" s="34">
        <f>IF(AND(BG$5&gt;$E52,BG$5&lt;=$F52),IF(BG$5=$E52+1,$C52,""),"")</f>
        <v/>
      </c>
      <c r="BH52" s="34">
        <f>IF(AND(BH$5&gt;$E52,BH$5&lt;=$F52),IF(BH$5=$E52+1,$C52,""),"")</f>
        <v/>
      </c>
      <c r="BI52" s="34">
        <f>IF(AND(BI$5&gt;$E52,BI$5&lt;=$F52),IF(BI$5=$E52+1,$C52,""),"")</f>
        <v/>
      </c>
      <c r="BJ52" s="34">
        <f>IF(AND(BJ$5&gt;$E52,BJ$5&lt;=$F52),IF(BJ$5=$E52+1,$C52,""),"")</f>
        <v/>
      </c>
      <c r="BK52" s="34">
        <f>IF(AND(BK$5&gt;$E52,BK$5&lt;=$F52),IF(BK$5=$E52+1,$C52,""),"")</f>
        <v/>
      </c>
      <c r="BL52" s="34">
        <f>IF(AND(BL$5&gt;$E52,BL$5&lt;=$F52),IF(BL$5=$E52+1,$C52,""),"")</f>
        <v/>
      </c>
      <c r="BM52" s="34">
        <f>IF(AND(BM$5&gt;$E52,BM$5&lt;=$F52),IF(BM$5=$E52+1,$C52,""),"")</f>
        <v/>
      </c>
      <c r="BN52" s="34">
        <f>IF(AND(BN$5&gt;$E52,BN$5&lt;=$F52),IF(BN$5=$E52+1,$C52,""),"")</f>
        <v/>
      </c>
      <c r="BO52" s="34">
        <f>IF(AND(BO$5&gt;$E52,BO$5&lt;=$F52),IF(BO$5=$E52+1,$C52,""),"")</f>
        <v/>
      </c>
      <c r="BP52" s="34">
        <f>IF(AND(BP$5&gt;$E52,BP$5&lt;=$F52),IF(BP$5=$E52+1,$C52,""),"")</f>
        <v/>
      </c>
      <c r="BQ52" s="34">
        <f>IF(AND(BQ$5&gt;$E52,BQ$5&lt;=$F52),IF(BQ$5=$E52+1,$C52,""),"")</f>
        <v/>
      </c>
      <c r="BR52" s="34">
        <f>IF(AND(BR$5&gt;$E52,BR$5&lt;=$F52),IF(BR$5=$E52+1,$C52,""),"")</f>
        <v/>
      </c>
      <c r="BS52" s="34">
        <f>IF(AND(BS$5&gt;$E52,BS$5&lt;=$F52),IF(BS$5=$E52+1,$C52,""),"")</f>
        <v/>
      </c>
      <c r="BT52" s="34">
        <f>IF(AND(BT$5&gt;$E52,BT$5&lt;=$F52),IF(BT$5=$E52+1,$C52,""),"")</f>
        <v/>
      </c>
      <c r="BU52" s="34">
        <f>IF(AND(BU$5&gt;$E52,BU$5&lt;=$F52),IF(BU$5=$E52+1,$C52,""),"")</f>
        <v/>
      </c>
      <c r="BV52" s="34">
        <f>IF(AND(BV$5&gt;$E52,BV$5&lt;=$F52),IF(BV$5=$E52+1,$C52,""),"")</f>
        <v/>
      </c>
      <c r="BW52" s="34">
        <f>IF(AND(BW$5&gt;$E52,BW$5&lt;=$F52),IF(BW$5=$E52+1,$C52,""),"")</f>
        <v/>
      </c>
      <c r="BX52" s="34">
        <f>IF(AND(BX$5&gt;$E52,BX$5&lt;=$F52),IF(BX$5=$E52+1,$C52,""),"")</f>
        <v/>
      </c>
      <c r="BY52" s="34">
        <f>IF(AND(BY$5&gt;$E52,BY$5&lt;=$F52),IF(BY$5=$E52+1,$C52,""),"")</f>
        <v/>
      </c>
      <c r="BZ52" s="34">
        <f>IF(AND(BZ$5&gt;$E52,BZ$5&lt;=$F52),IF(BZ$5=$E52+1,$C52,""),"")</f>
        <v/>
      </c>
      <c r="CA52" s="34">
        <f>IF(AND(CA$5&gt;$E52,CA$5&lt;=$F52),IF(CA$5=$E52+1,$C52,""),"")</f>
        <v/>
      </c>
      <c r="CB52" s="34">
        <f>IF(AND(CB$5&gt;$E52,CB$5&lt;=$F52),IF(CB$5=$E52+1,$C52,""),"")</f>
        <v/>
      </c>
      <c r="CC52" s="34">
        <f>IF(AND(CC$5&gt;$E52,CC$5&lt;=$F52),IF(CC$5=$E52+1,$C52,""),"")</f>
        <v/>
      </c>
      <c r="CD52" s="34">
        <f>IF(AND(CD$5&gt;$E52,CD$5&lt;=$F52),IF(CD$5=$E52+1,$C52,""),"")</f>
        <v/>
      </c>
      <c r="CE52" s="34">
        <f>IF(AND(CE$5&gt;$E52,CE$5&lt;=$F52),IF(CE$5=$E52+1,$C52,""),"")</f>
        <v/>
      </c>
      <c r="CF52" s="34">
        <f>IF(AND(CF$5&gt;$E52,CF$5&lt;=$F52),IF(CF$5=$E52+1,$C52,""),"")</f>
        <v/>
      </c>
      <c r="CG52" s="34">
        <f>IF(AND(CG$5&gt;$E52,CG$5&lt;=$F52),IF(CG$5=$E52+1,$C52,""),"")</f>
        <v/>
      </c>
      <c r="CH52" s="34">
        <f>IF(AND(CH$5&gt;$E52,CH$5&lt;=$F52),IF(CH$5=$E52+1,$C52,""),"")</f>
        <v/>
      </c>
      <c r="CI52" s="34">
        <f>IF(AND(CI$5&gt;$E52,CI$5&lt;=$F52),IF(CI$5=$E52+1,$C52,""),"")</f>
        <v/>
      </c>
      <c r="CJ52" s="34">
        <f>IF(AND(CJ$5&gt;$E52,CJ$5&lt;=$F52),IF(CJ$5=$E52+1,$C52,""),"")</f>
        <v/>
      </c>
      <c r="CK52" s="34">
        <f>IF(AND(CK$5&gt;$E52,CK$5&lt;=$F52),IF(CK$5=$E52+1,$C52,""),"")</f>
        <v/>
      </c>
      <c r="CL52" s="34">
        <f>IF(AND(CL$5&gt;$E52,CL$5&lt;=$F52),IF(CL$5=$E52+1,$C52,""),"")</f>
        <v/>
      </c>
      <c r="CM52" s="34">
        <f>IF(AND(CM$5&gt;$E52,CM$5&lt;=$F52),IF(CM$5=$E52+1,$C52,""),"")</f>
        <v/>
      </c>
      <c r="CN52" s="34">
        <f>IF(AND(CN$5&gt;$E52,CN$5&lt;=$F52),IF(CN$5=$E52+1,$C52,""),"")</f>
        <v/>
      </c>
      <c r="CO52" s="34">
        <f>IF(AND(CO$5&gt;$E52,CO$5&lt;=$F52),IF(CO$5=$E52+1,$C52,""),"")</f>
        <v/>
      </c>
      <c r="CP52" s="34">
        <f>IF(AND(CP$5&gt;$E52,CP$5&lt;=$F52),IF(CP$5=$E52+1,$C52,""),"")</f>
        <v/>
      </c>
      <c r="CQ52" s="34">
        <f>IF(AND(CQ$5&gt;$E52,CQ$5&lt;=$F52),IF(CQ$5=$E52+1,$C52,""),"")</f>
        <v/>
      </c>
      <c r="CR52" s="34">
        <f>IF(AND(CR$5&gt;$E52,CR$5&lt;=$F52),IF(CR$5=$E52+1,$C52,""),"")</f>
        <v/>
      </c>
      <c r="CS52" s="34">
        <f>IF(AND(CS$5&gt;$E52,CS$5&lt;=$F52),IF(CS$5=$E52+1,$C52,""),"")</f>
        <v/>
      </c>
    </row>
    <row r="53">
      <c r="A53" s="32">
        <f>Plan!A45</f>
        <v/>
      </c>
      <c r="B53" s="33">
        <f>Plan!C45</f>
        <v/>
      </c>
      <c r="C53" s="16">
        <f>Plan!D45</f>
        <v/>
      </c>
      <c r="D53" s="16">
        <f>Plan!I45</f>
        <v/>
      </c>
      <c r="E53" s="16">
        <f>Plan!K45</f>
        <v/>
      </c>
      <c r="F53" s="16">
        <f>Plan!L45</f>
        <v/>
      </c>
      <c r="G53" s="16">
        <f>Plan!O45</f>
        <v/>
      </c>
      <c r="H53" s="34">
        <f>IF(AND(H$5&gt;$E53,H$5&lt;=$F53),IF(H$5=$E53+1,$C53,""),"")</f>
        <v/>
      </c>
      <c r="I53" s="34">
        <f>IF(AND(I$5&gt;$E53,I$5&lt;=$F53),IF(I$5=$E53+1,$C53,""),"")</f>
        <v/>
      </c>
      <c r="J53" s="34">
        <f>IF(AND(J$5&gt;$E53,J$5&lt;=$F53),IF(J$5=$E53+1,$C53,""),"")</f>
        <v/>
      </c>
      <c r="K53" s="34">
        <f>IF(AND(K$5&gt;$E53,K$5&lt;=$F53),IF(K$5=$E53+1,$C53,""),"")</f>
        <v/>
      </c>
      <c r="L53" s="34">
        <f>IF(AND(L$5&gt;$E53,L$5&lt;=$F53),IF(L$5=$E53+1,$C53,""),"")</f>
        <v/>
      </c>
      <c r="M53" s="34">
        <f>IF(AND(M$5&gt;$E53,M$5&lt;=$F53),IF(M$5=$E53+1,$C53,""),"")</f>
        <v/>
      </c>
      <c r="N53" s="34">
        <f>IF(AND(N$5&gt;$E53,N$5&lt;=$F53),IF(N$5=$E53+1,$C53,""),"")</f>
        <v/>
      </c>
      <c r="O53" s="34">
        <f>IF(AND(O$5&gt;$E53,O$5&lt;=$F53),IF(O$5=$E53+1,$C53,""),"")</f>
        <v/>
      </c>
      <c r="P53" s="34">
        <f>IF(AND(P$5&gt;$E53,P$5&lt;=$F53),IF(P$5=$E53+1,$C53,""),"")</f>
        <v/>
      </c>
      <c r="Q53" s="34">
        <f>IF(AND(Q$5&gt;$E53,Q$5&lt;=$F53),IF(Q$5=$E53+1,$C53,""),"")</f>
        <v/>
      </c>
      <c r="R53" s="34">
        <f>IF(AND(R$5&gt;$E53,R$5&lt;=$F53),IF(R$5=$E53+1,$C53,""),"")</f>
        <v/>
      </c>
      <c r="S53" s="34">
        <f>IF(AND(S$5&gt;$E53,S$5&lt;=$F53),IF(S$5=$E53+1,$C53,""),"")</f>
        <v/>
      </c>
      <c r="T53" s="34">
        <f>IF(AND(T$5&gt;$E53,T$5&lt;=$F53),IF(T$5=$E53+1,$C53,""),"")</f>
        <v/>
      </c>
      <c r="U53" s="34">
        <f>IF(AND(U$5&gt;$E53,U$5&lt;=$F53),IF(U$5=$E53+1,$C53,""),"")</f>
        <v/>
      </c>
      <c r="V53" s="34">
        <f>IF(AND(V$5&gt;$E53,V$5&lt;=$F53),IF(V$5=$E53+1,$C53,""),"")</f>
        <v/>
      </c>
      <c r="W53" s="34">
        <f>IF(AND(W$5&gt;$E53,W$5&lt;=$F53),IF(W$5=$E53+1,$C53,""),"")</f>
        <v/>
      </c>
      <c r="X53" s="34">
        <f>IF(AND(X$5&gt;$E53,X$5&lt;=$F53),IF(X$5=$E53+1,$C53,""),"")</f>
        <v/>
      </c>
      <c r="Y53" s="34">
        <f>IF(AND(Y$5&gt;$E53,Y$5&lt;=$F53),IF(Y$5=$E53+1,$C53,""),"")</f>
        <v/>
      </c>
      <c r="Z53" s="34">
        <f>IF(AND(Z$5&gt;$E53,Z$5&lt;=$F53),IF(Z$5=$E53+1,$C53,""),"")</f>
        <v/>
      </c>
      <c r="AA53" s="34">
        <f>IF(AND(AA$5&gt;$E53,AA$5&lt;=$F53),IF(AA$5=$E53+1,$C53,""),"")</f>
        <v/>
      </c>
      <c r="AB53" s="34">
        <f>IF(AND(AB$5&gt;$E53,AB$5&lt;=$F53),IF(AB$5=$E53+1,$C53,""),"")</f>
        <v/>
      </c>
      <c r="AC53" s="34">
        <f>IF(AND(AC$5&gt;$E53,AC$5&lt;=$F53),IF(AC$5=$E53+1,$C53,""),"")</f>
        <v/>
      </c>
      <c r="AD53" s="34">
        <f>IF(AND(AD$5&gt;$E53,AD$5&lt;=$F53),IF(AD$5=$E53+1,$C53,""),"")</f>
        <v/>
      </c>
      <c r="AE53" s="34">
        <f>IF(AND(AE$5&gt;$E53,AE$5&lt;=$F53),IF(AE$5=$E53+1,$C53,""),"")</f>
        <v/>
      </c>
      <c r="AF53" s="34">
        <f>IF(AND(AF$5&gt;$E53,AF$5&lt;=$F53),IF(AF$5=$E53+1,$C53,""),"")</f>
        <v/>
      </c>
      <c r="AG53" s="34">
        <f>IF(AND(AG$5&gt;$E53,AG$5&lt;=$F53),IF(AG$5=$E53+1,$C53,""),"")</f>
        <v/>
      </c>
      <c r="AH53" s="34">
        <f>IF(AND(AH$5&gt;$E53,AH$5&lt;=$F53),IF(AH$5=$E53+1,$C53,""),"")</f>
        <v/>
      </c>
      <c r="AI53" s="34">
        <f>IF(AND(AI$5&gt;$E53,AI$5&lt;=$F53),IF(AI$5=$E53+1,$C53,""),"")</f>
        <v/>
      </c>
      <c r="AJ53" s="34">
        <f>IF(AND(AJ$5&gt;$E53,AJ$5&lt;=$F53),IF(AJ$5=$E53+1,$C53,""),"")</f>
        <v/>
      </c>
      <c r="AK53" s="34">
        <f>IF(AND(AK$5&gt;$E53,AK$5&lt;=$F53),IF(AK$5=$E53+1,$C53,""),"")</f>
        <v/>
      </c>
      <c r="AL53" s="34">
        <f>IF(AND(AL$5&gt;$E53,AL$5&lt;=$F53),IF(AL$5=$E53+1,$C53,""),"")</f>
        <v/>
      </c>
      <c r="AM53" s="34">
        <f>IF(AND(AM$5&gt;$E53,AM$5&lt;=$F53),IF(AM$5=$E53+1,$C53,""),"")</f>
        <v/>
      </c>
      <c r="AN53" s="34">
        <f>IF(AND(AN$5&gt;$E53,AN$5&lt;=$F53),IF(AN$5=$E53+1,$C53,""),"")</f>
        <v/>
      </c>
      <c r="AO53" s="34">
        <f>IF(AND(AO$5&gt;$E53,AO$5&lt;=$F53),IF(AO$5=$E53+1,$C53,""),"")</f>
        <v/>
      </c>
      <c r="AP53" s="34">
        <f>IF(AND(AP$5&gt;$E53,AP$5&lt;=$F53),IF(AP$5=$E53+1,$C53,""),"")</f>
        <v/>
      </c>
      <c r="AQ53" s="34">
        <f>IF(AND(AQ$5&gt;$E53,AQ$5&lt;=$F53),IF(AQ$5=$E53+1,$C53,""),"")</f>
        <v/>
      </c>
      <c r="AR53" s="34">
        <f>IF(AND(AR$5&gt;$E53,AR$5&lt;=$F53),IF(AR$5=$E53+1,$C53,""),"")</f>
        <v/>
      </c>
      <c r="AS53" s="34">
        <f>IF(AND(AS$5&gt;$E53,AS$5&lt;=$F53),IF(AS$5=$E53+1,$C53,""),"")</f>
        <v/>
      </c>
      <c r="AT53" s="34">
        <f>IF(AND(AT$5&gt;$E53,AT$5&lt;=$F53),IF(AT$5=$E53+1,$C53,""),"")</f>
        <v/>
      </c>
      <c r="AU53" s="34">
        <f>IF(AND(AU$5&gt;$E53,AU$5&lt;=$F53),IF(AU$5=$E53+1,$C53,""),"")</f>
        <v/>
      </c>
      <c r="AV53" s="34">
        <f>IF(AND(AV$5&gt;$E53,AV$5&lt;=$F53),IF(AV$5=$E53+1,$C53,""),"")</f>
        <v/>
      </c>
      <c r="AW53" s="34">
        <f>IF(AND(AW$5&gt;$E53,AW$5&lt;=$F53),IF(AW$5=$E53+1,$C53,""),"")</f>
        <v/>
      </c>
      <c r="AX53" s="34">
        <f>IF(AND(AX$5&gt;$E53,AX$5&lt;=$F53),IF(AX$5=$E53+1,$C53,""),"")</f>
        <v/>
      </c>
      <c r="AY53" s="34">
        <f>IF(AND(AY$5&gt;$E53,AY$5&lt;=$F53),IF(AY$5=$E53+1,$C53,""),"")</f>
        <v/>
      </c>
      <c r="AZ53" s="34">
        <f>IF(AND(AZ$5&gt;$E53,AZ$5&lt;=$F53),IF(AZ$5=$E53+1,$C53,""),"")</f>
        <v/>
      </c>
      <c r="BA53" s="34">
        <f>IF(AND(BA$5&gt;$E53,BA$5&lt;=$F53),IF(BA$5=$E53+1,$C53,""),"")</f>
        <v/>
      </c>
      <c r="BB53" s="34">
        <f>IF(AND(BB$5&gt;$E53,BB$5&lt;=$F53),IF(BB$5=$E53+1,$C53,""),"")</f>
        <v/>
      </c>
      <c r="BC53" s="34">
        <f>IF(AND(BC$5&gt;$E53,BC$5&lt;=$F53),IF(BC$5=$E53+1,$C53,""),"")</f>
        <v/>
      </c>
      <c r="BD53" s="34">
        <f>IF(AND(BD$5&gt;$E53,BD$5&lt;=$F53),IF(BD$5=$E53+1,$C53,""),"")</f>
        <v/>
      </c>
      <c r="BE53" s="34">
        <f>IF(AND(BE$5&gt;$E53,BE$5&lt;=$F53),IF(BE$5=$E53+1,$C53,""),"")</f>
        <v/>
      </c>
      <c r="BF53" s="34">
        <f>IF(AND(BF$5&gt;$E53,BF$5&lt;=$F53),IF(BF$5=$E53+1,$C53,""),"")</f>
        <v/>
      </c>
      <c r="BG53" s="34">
        <f>IF(AND(BG$5&gt;$E53,BG$5&lt;=$F53),IF(BG$5=$E53+1,$C53,""),"")</f>
        <v/>
      </c>
      <c r="BH53" s="34">
        <f>IF(AND(BH$5&gt;$E53,BH$5&lt;=$F53),IF(BH$5=$E53+1,$C53,""),"")</f>
        <v/>
      </c>
      <c r="BI53" s="34">
        <f>IF(AND(BI$5&gt;$E53,BI$5&lt;=$F53),IF(BI$5=$E53+1,$C53,""),"")</f>
        <v/>
      </c>
      <c r="BJ53" s="34">
        <f>IF(AND(BJ$5&gt;$E53,BJ$5&lt;=$F53),IF(BJ$5=$E53+1,$C53,""),"")</f>
        <v/>
      </c>
      <c r="BK53" s="34">
        <f>IF(AND(BK$5&gt;$E53,BK$5&lt;=$F53),IF(BK$5=$E53+1,$C53,""),"")</f>
        <v/>
      </c>
      <c r="BL53" s="34">
        <f>IF(AND(BL$5&gt;$E53,BL$5&lt;=$F53),IF(BL$5=$E53+1,$C53,""),"")</f>
        <v/>
      </c>
      <c r="BM53" s="34">
        <f>IF(AND(BM$5&gt;$E53,BM$5&lt;=$F53),IF(BM$5=$E53+1,$C53,""),"")</f>
        <v/>
      </c>
      <c r="BN53" s="34">
        <f>IF(AND(BN$5&gt;$E53,BN$5&lt;=$F53),IF(BN$5=$E53+1,$C53,""),"")</f>
        <v/>
      </c>
      <c r="BO53" s="34">
        <f>IF(AND(BO$5&gt;$E53,BO$5&lt;=$F53),IF(BO$5=$E53+1,$C53,""),"")</f>
        <v/>
      </c>
      <c r="BP53" s="34">
        <f>IF(AND(BP$5&gt;$E53,BP$5&lt;=$F53),IF(BP$5=$E53+1,$C53,""),"")</f>
        <v/>
      </c>
      <c r="BQ53" s="34">
        <f>IF(AND(BQ$5&gt;$E53,BQ$5&lt;=$F53),IF(BQ$5=$E53+1,$C53,""),"")</f>
        <v/>
      </c>
      <c r="BR53" s="34">
        <f>IF(AND(BR$5&gt;$E53,BR$5&lt;=$F53),IF(BR$5=$E53+1,$C53,""),"")</f>
        <v/>
      </c>
      <c r="BS53" s="34">
        <f>IF(AND(BS$5&gt;$E53,BS$5&lt;=$F53),IF(BS$5=$E53+1,$C53,""),"")</f>
        <v/>
      </c>
      <c r="BT53" s="34">
        <f>IF(AND(BT$5&gt;$E53,BT$5&lt;=$F53),IF(BT$5=$E53+1,$C53,""),"")</f>
        <v/>
      </c>
      <c r="BU53" s="34">
        <f>IF(AND(BU$5&gt;$E53,BU$5&lt;=$F53),IF(BU$5=$E53+1,$C53,""),"")</f>
        <v/>
      </c>
      <c r="BV53" s="34">
        <f>IF(AND(BV$5&gt;$E53,BV$5&lt;=$F53),IF(BV$5=$E53+1,$C53,""),"")</f>
        <v/>
      </c>
      <c r="BW53" s="34">
        <f>IF(AND(BW$5&gt;$E53,BW$5&lt;=$F53),IF(BW$5=$E53+1,$C53,""),"")</f>
        <v/>
      </c>
      <c r="BX53" s="34">
        <f>IF(AND(BX$5&gt;$E53,BX$5&lt;=$F53),IF(BX$5=$E53+1,$C53,""),"")</f>
        <v/>
      </c>
      <c r="BY53" s="34">
        <f>IF(AND(BY$5&gt;$E53,BY$5&lt;=$F53),IF(BY$5=$E53+1,$C53,""),"")</f>
        <v/>
      </c>
      <c r="BZ53" s="34">
        <f>IF(AND(BZ$5&gt;$E53,BZ$5&lt;=$F53),IF(BZ$5=$E53+1,$C53,""),"")</f>
        <v/>
      </c>
      <c r="CA53" s="34">
        <f>IF(AND(CA$5&gt;$E53,CA$5&lt;=$F53),IF(CA$5=$E53+1,$C53,""),"")</f>
        <v/>
      </c>
      <c r="CB53" s="34">
        <f>IF(AND(CB$5&gt;$E53,CB$5&lt;=$F53),IF(CB$5=$E53+1,$C53,""),"")</f>
        <v/>
      </c>
      <c r="CC53" s="34">
        <f>IF(AND(CC$5&gt;$E53,CC$5&lt;=$F53),IF(CC$5=$E53+1,$C53,""),"")</f>
        <v/>
      </c>
      <c r="CD53" s="34">
        <f>IF(AND(CD$5&gt;$E53,CD$5&lt;=$F53),IF(CD$5=$E53+1,$C53,""),"")</f>
        <v/>
      </c>
      <c r="CE53" s="34">
        <f>IF(AND(CE$5&gt;$E53,CE$5&lt;=$F53),IF(CE$5=$E53+1,$C53,""),"")</f>
        <v/>
      </c>
      <c r="CF53" s="34">
        <f>IF(AND(CF$5&gt;$E53,CF$5&lt;=$F53),IF(CF$5=$E53+1,$C53,""),"")</f>
        <v/>
      </c>
      <c r="CG53" s="34">
        <f>IF(AND(CG$5&gt;$E53,CG$5&lt;=$F53),IF(CG$5=$E53+1,$C53,""),"")</f>
        <v/>
      </c>
      <c r="CH53" s="34">
        <f>IF(AND(CH$5&gt;$E53,CH$5&lt;=$F53),IF(CH$5=$E53+1,$C53,""),"")</f>
        <v/>
      </c>
      <c r="CI53" s="34">
        <f>IF(AND(CI$5&gt;$E53,CI$5&lt;=$F53),IF(CI$5=$E53+1,$C53,""),"")</f>
        <v/>
      </c>
      <c r="CJ53" s="34">
        <f>IF(AND(CJ$5&gt;$E53,CJ$5&lt;=$F53),IF(CJ$5=$E53+1,$C53,""),"")</f>
        <v/>
      </c>
      <c r="CK53" s="34">
        <f>IF(AND(CK$5&gt;$E53,CK$5&lt;=$F53),IF(CK$5=$E53+1,$C53,""),"")</f>
        <v/>
      </c>
      <c r="CL53" s="34">
        <f>IF(AND(CL$5&gt;$E53,CL$5&lt;=$F53),IF(CL$5=$E53+1,$C53,""),"")</f>
        <v/>
      </c>
      <c r="CM53" s="34">
        <f>IF(AND(CM$5&gt;$E53,CM$5&lt;=$F53),IF(CM$5=$E53+1,$C53,""),"")</f>
        <v/>
      </c>
      <c r="CN53" s="34">
        <f>IF(AND(CN$5&gt;$E53,CN$5&lt;=$F53),IF(CN$5=$E53+1,$C53,""),"")</f>
        <v/>
      </c>
      <c r="CO53" s="34">
        <f>IF(AND(CO$5&gt;$E53,CO$5&lt;=$F53),IF(CO$5=$E53+1,$C53,""),"")</f>
        <v/>
      </c>
      <c r="CP53" s="34">
        <f>IF(AND(CP$5&gt;$E53,CP$5&lt;=$F53),IF(CP$5=$E53+1,$C53,""),"")</f>
        <v/>
      </c>
      <c r="CQ53" s="34">
        <f>IF(AND(CQ$5&gt;$E53,CQ$5&lt;=$F53),IF(CQ$5=$E53+1,$C53,""),"")</f>
        <v/>
      </c>
      <c r="CR53" s="34">
        <f>IF(AND(CR$5&gt;$E53,CR$5&lt;=$F53),IF(CR$5=$E53+1,$C53,""),"")</f>
        <v/>
      </c>
      <c r="CS53" s="34">
        <f>IF(AND(CS$5&gt;$E53,CS$5&lt;=$F53),IF(CS$5=$E53+1,$C53,""),"")</f>
        <v/>
      </c>
    </row>
    <row r="54">
      <c r="A54" s="32">
        <f>Plan!A46</f>
        <v/>
      </c>
      <c r="B54" s="33">
        <f>Plan!C46</f>
        <v/>
      </c>
      <c r="C54" s="16">
        <f>Plan!D46</f>
        <v/>
      </c>
      <c r="D54" s="16">
        <f>Plan!I46</f>
        <v/>
      </c>
      <c r="E54" s="16">
        <f>Plan!K46</f>
        <v/>
      </c>
      <c r="F54" s="16">
        <f>Plan!L46</f>
        <v/>
      </c>
      <c r="G54" s="16">
        <f>Plan!O46</f>
        <v/>
      </c>
      <c r="H54" s="34">
        <f>IF(AND(H$5&gt;$E54,H$5&lt;=$F54),IF(H$5=$E54+1,$C54,""),"")</f>
        <v/>
      </c>
      <c r="I54" s="34">
        <f>IF(AND(I$5&gt;$E54,I$5&lt;=$F54),IF(I$5=$E54+1,$C54,""),"")</f>
        <v/>
      </c>
      <c r="J54" s="34">
        <f>IF(AND(J$5&gt;$E54,J$5&lt;=$F54),IF(J$5=$E54+1,$C54,""),"")</f>
        <v/>
      </c>
      <c r="K54" s="34">
        <f>IF(AND(K$5&gt;$E54,K$5&lt;=$F54),IF(K$5=$E54+1,$C54,""),"")</f>
        <v/>
      </c>
      <c r="L54" s="34">
        <f>IF(AND(L$5&gt;$E54,L$5&lt;=$F54),IF(L$5=$E54+1,$C54,""),"")</f>
        <v/>
      </c>
      <c r="M54" s="34">
        <f>IF(AND(M$5&gt;$E54,M$5&lt;=$F54),IF(M$5=$E54+1,$C54,""),"")</f>
        <v/>
      </c>
      <c r="N54" s="34">
        <f>IF(AND(N$5&gt;$E54,N$5&lt;=$F54),IF(N$5=$E54+1,$C54,""),"")</f>
        <v/>
      </c>
      <c r="O54" s="34">
        <f>IF(AND(O$5&gt;$E54,O$5&lt;=$F54),IF(O$5=$E54+1,$C54,""),"")</f>
        <v/>
      </c>
      <c r="P54" s="34">
        <f>IF(AND(P$5&gt;$E54,P$5&lt;=$F54),IF(P$5=$E54+1,$C54,""),"")</f>
        <v/>
      </c>
      <c r="Q54" s="34">
        <f>IF(AND(Q$5&gt;$E54,Q$5&lt;=$F54),IF(Q$5=$E54+1,$C54,""),"")</f>
        <v/>
      </c>
      <c r="R54" s="34">
        <f>IF(AND(R$5&gt;$E54,R$5&lt;=$F54),IF(R$5=$E54+1,$C54,""),"")</f>
        <v/>
      </c>
      <c r="S54" s="34">
        <f>IF(AND(S$5&gt;$E54,S$5&lt;=$F54),IF(S$5=$E54+1,$C54,""),"")</f>
        <v/>
      </c>
      <c r="T54" s="34">
        <f>IF(AND(T$5&gt;$E54,T$5&lt;=$F54),IF(T$5=$E54+1,$C54,""),"")</f>
        <v/>
      </c>
      <c r="U54" s="34">
        <f>IF(AND(U$5&gt;$E54,U$5&lt;=$F54),IF(U$5=$E54+1,$C54,""),"")</f>
        <v/>
      </c>
      <c r="V54" s="34">
        <f>IF(AND(V$5&gt;$E54,V$5&lt;=$F54),IF(V$5=$E54+1,$C54,""),"")</f>
        <v/>
      </c>
      <c r="W54" s="34">
        <f>IF(AND(W$5&gt;$E54,W$5&lt;=$F54),IF(W$5=$E54+1,$C54,""),"")</f>
        <v/>
      </c>
      <c r="X54" s="34">
        <f>IF(AND(X$5&gt;$E54,X$5&lt;=$F54),IF(X$5=$E54+1,$C54,""),"")</f>
        <v/>
      </c>
      <c r="Y54" s="34">
        <f>IF(AND(Y$5&gt;$E54,Y$5&lt;=$F54),IF(Y$5=$E54+1,$C54,""),"")</f>
        <v/>
      </c>
      <c r="Z54" s="34">
        <f>IF(AND(Z$5&gt;$E54,Z$5&lt;=$F54),IF(Z$5=$E54+1,$C54,""),"")</f>
        <v/>
      </c>
      <c r="AA54" s="34">
        <f>IF(AND(AA$5&gt;$E54,AA$5&lt;=$F54),IF(AA$5=$E54+1,$C54,""),"")</f>
        <v/>
      </c>
      <c r="AB54" s="34">
        <f>IF(AND(AB$5&gt;$E54,AB$5&lt;=$F54),IF(AB$5=$E54+1,$C54,""),"")</f>
        <v/>
      </c>
      <c r="AC54" s="34">
        <f>IF(AND(AC$5&gt;$E54,AC$5&lt;=$F54),IF(AC$5=$E54+1,$C54,""),"")</f>
        <v/>
      </c>
      <c r="AD54" s="34">
        <f>IF(AND(AD$5&gt;$E54,AD$5&lt;=$F54),IF(AD$5=$E54+1,$C54,""),"")</f>
        <v/>
      </c>
      <c r="AE54" s="34">
        <f>IF(AND(AE$5&gt;$E54,AE$5&lt;=$F54),IF(AE$5=$E54+1,$C54,""),"")</f>
        <v/>
      </c>
      <c r="AF54" s="34">
        <f>IF(AND(AF$5&gt;$E54,AF$5&lt;=$F54),IF(AF$5=$E54+1,$C54,""),"")</f>
        <v/>
      </c>
      <c r="AG54" s="34">
        <f>IF(AND(AG$5&gt;$E54,AG$5&lt;=$F54),IF(AG$5=$E54+1,$C54,""),"")</f>
        <v/>
      </c>
      <c r="AH54" s="34">
        <f>IF(AND(AH$5&gt;$E54,AH$5&lt;=$F54),IF(AH$5=$E54+1,$C54,""),"")</f>
        <v/>
      </c>
      <c r="AI54" s="34">
        <f>IF(AND(AI$5&gt;$E54,AI$5&lt;=$F54),IF(AI$5=$E54+1,$C54,""),"")</f>
        <v/>
      </c>
      <c r="AJ54" s="34">
        <f>IF(AND(AJ$5&gt;$E54,AJ$5&lt;=$F54),IF(AJ$5=$E54+1,$C54,""),"")</f>
        <v/>
      </c>
      <c r="AK54" s="34">
        <f>IF(AND(AK$5&gt;$E54,AK$5&lt;=$F54),IF(AK$5=$E54+1,$C54,""),"")</f>
        <v/>
      </c>
      <c r="AL54" s="34">
        <f>IF(AND(AL$5&gt;$E54,AL$5&lt;=$F54),IF(AL$5=$E54+1,$C54,""),"")</f>
        <v/>
      </c>
      <c r="AM54" s="34">
        <f>IF(AND(AM$5&gt;$E54,AM$5&lt;=$F54),IF(AM$5=$E54+1,$C54,""),"")</f>
        <v/>
      </c>
      <c r="AN54" s="34">
        <f>IF(AND(AN$5&gt;$E54,AN$5&lt;=$F54),IF(AN$5=$E54+1,$C54,""),"")</f>
        <v/>
      </c>
      <c r="AO54" s="34">
        <f>IF(AND(AO$5&gt;$E54,AO$5&lt;=$F54),IF(AO$5=$E54+1,$C54,""),"")</f>
        <v/>
      </c>
      <c r="AP54" s="34">
        <f>IF(AND(AP$5&gt;$E54,AP$5&lt;=$F54),IF(AP$5=$E54+1,$C54,""),"")</f>
        <v/>
      </c>
      <c r="AQ54" s="34">
        <f>IF(AND(AQ$5&gt;$E54,AQ$5&lt;=$F54),IF(AQ$5=$E54+1,$C54,""),"")</f>
        <v/>
      </c>
      <c r="AR54" s="34">
        <f>IF(AND(AR$5&gt;$E54,AR$5&lt;=$F54),IF(AR$5=$E54+1,$C54,""),"")</f>
        <v/>
      </c>
      <c r="AS54" s="34">
        <f>IF(AND(AS$5&gt;$E54,AS$5&lt;=$F54),IF(AS$5=$E54+1,$C54,""),"")</f>
        <v/>
      </c>
      <c r="AT54" s="34">
        <f>IF(AND(AT$5&gt;$E54,AT$5&lt;=$F54),IF(AT$5=$E54+1,$C54,""),"")</f>
        <v/>
      </c>
      <c r="AU54" s="34">
        <f>IF(AND(AU$5&gt;$E54,AU$5&lt;=$F54),IF(AU$5=$E54+1,$C54,""),"")</f>
        <v/>
      </c>
      <c r="AV54" s="34">
        <f>IF(AND(AV$5&gt;$E54,AV$5&lt;=$F54),IF(AV$5=$E54+1,$C54,""),"")</f>
        <v/>
      </c>
      <c r="AW54" s="34">
        <f>IF(AND(AW$5&gt;$E54,AW$5&lt;=$F54),IF(AW$5=$E54+1,$C54,""),"")</f>
        <v/>
      </c>
      <c r="AX54" s="34">
        <f>IF(AND(AX$5&gt;$E54,AX$5&lt;=$F54),IF(AX$5=$E54+1,$C54,""),"")</f>
        <v/>
      </c>
      <c r="AY54" s="34">
        <f>IF(AND(AY$5&gt;$E54,AY$5&lt;=$F54),IF(AY$5=$E54+1,$C54,""),"")</f>
        <v/>
      </c>
      <c r="AZ54" s="34">
        <f>IF(AND(AZ$5&gt;$E54,AZ$5&lt;=$F54),IF(AZ$5=$E54+1,$C54,""),"")</f>
        <v/>
      </c>
      <c r="BA54" s="34">
        <f>IF(AND(BA$5&gt;$E54,BA$5&lt;=$F54),IF(BA$5=$E54+1,$C54,""),"")</f>
        <v/>
      </c>
      <c r="BB54" s="34">
        <f>IF(AND(BB$5&gt;$E54,BB$5&lt;=$F54),IF(BB$5=$E54+1,$C54,""),"")</f>
        <v/>
      </c>
      <c r="BC54" s="34">
        <f>IF(AND(BC$5&gt;$E54,BC$5&lt;=$F54),IF(BC$5=$E54+1,$C54,""),"")</f>
        <v/>
      </c>
      <c r="BD54" s="34">
        <f>IF(AND(BD$5&gt;$E54,BD$5&lt;=$F54),IF(BD$5=$E54+1,$C54,""),"")</f>
        <v/>
      </c>
      <c r="BE54" s="34">
        <f>IF(AND(BE$5&gt;$E54,BE$5&lt;=$F54),IF(BE$5=$E54+1,$C54,""),"")</f>
        <v/>
      </c>
      <c r="BF54" s="34">
        <f>IF(AND(BF$5&gt;$E54,BF$5&lt;=$F54),IF(BF$5=$E54+1,$C54,""),"")</f>
        <v/>
      </c>
      <c r="BG54" s="34">
        <f>IF(AND(BG$5&gt;$E54,BG$5&lt;=$F54),IF(BG$5=$E54+1,$C54,""),"")</f>
        <v/>
      </c>
      <c r="BH54" s="34">
        <f>IF(AND(BH$5&gt;$E54,BH$5&lt;=$F54),IF(BH$5=$E54+1,$C54,""),"")</f>
        <v/>
      </c>
      <c r="BI54" s="34">
        <f>IF(AND(BI$5&gt;$E54,BI$5&lt;=$F54),IF(BI$5=$E54+1,$C54,""),"")</f>
        <v/>
      </c>
      <c r="BJ54" s="34">
        <f>IF(AND(BJ$5&gt;$E54,BJ$5&lt;=$F54),IF(BJ$5=$E54+1,$C54,""),"")</f>
        <v/>
      </c>
      <c r="BK54" s="34">
        <f>IF(AND(BK$5&gt;$E54,BK$5&lt;=$F54),IF(BK$5=$E54+1,$C54,""),"")</f>
        <v/>
      </c>
      <c r="BL54" s="34">
        <f>IF(AND(BL$5&gt;$E54,BL$5&lt;=$F54),IF(BL$5=$E54+1,$C54,""),"")</f>
        <v/>
      </c>
      <c r="BM54" s="34">
        <f>IF(AND(BM$5&gt;$E54,BM$5&lt;=$F54),IF(BM$5=$E54+1,$C54,""),"")</f>
        <v/>
      </c>
      <c r="BN54" s="34">
        <f>IF(AND(BN$5&gt;$E54,BN$5&lt;=$F54),IF(BN$5=$E54+1,$C54,""),"")</f>
        <v/>
      </c>
      <c r="BO54" s="34">
        <f>IF(AND(BO$5&gt;$E54,BO$5&lt;=$F54),IF(BO$5=$E54+1,$C54,""),"")</f>
        <v/>
      </c>
      <c r="BP54" s="34">
        <f>IF(AND(BP$5&gt;$E54,BP$5&lt;=$F54),IF(BP$5=$E54+1,$C54,""),"")</f>
        <v/>
      </c>
      <c r="BQ54" s="34">
        <f>IF(AND(BQ$5&gt;$E54,BQ$5&lt;=$F54),IF(BQ$5=$E54+1,$C54,""),"")</f>
        <v/>
      </c>
      <c r="BR54" s="34">
        <f>IF(AND(BR$5&gt;$E54,BR$5&lt;=$F54),IF(BR$5=$E54+1,$C54,""),"")</f>
        <v/>
      </c>
      <c r="BS54" s="34">
        <f>IF(AND(BS$5&gt;$E54,BS$5&lt;=$F54),IF(BS$5=$E54+1,$C54,""),"")</f>
        <v/>
      </c>
      <c r="BT54" s="34">
        <f>IF(AND(BT$5&gt;$E54,BT$5&lt;=$F54),IF(BT$5=$E54+1,$C54,""),"")</f>
        <v/>
      </c>
      <c r="BU54" s="34">
        <f>IF(AND(BU$5&gt;$E54,BU$5&lt;=$F54),IF(BU$5=$E54+1,$C54,""),"")</f>
        <v/>
      </c>
      <c r="BV54" s="34">
        <f>IF(AND(BV$5&gt;$E54,BV$5&lt;=$F54),IF(BV$5=$E54+1,$C54,""),"")</f>
        <v/>
      </c>
      <c r="BW54" s="34">
        <f>IF(AND(BW$5&gt;$E54,BW$5&lt;=$F54),IF(BW$5=$E54+1,$C54,""),"")</f>
        <v/>
      </c>
      <c r="BX54" s="34">
        <f>IF(AND(BX$5&gt;$E54,BX$5&lt;=$F54),IF(BX$5=$E54+1,$C54,""),"")</f>
        <v/>
      </c>
      <c r="BY54" s="34">
        <f>IF(AND(BY$5&gt;$E54,BY$5&lt;=$F54),IF(BY$5=$E54+1,$C54,""),"")</f>
        <v/>
      </c>
      <c r="BZ54" s="34">
        <f>IF(AND(BZ$5&gt;$E54,BZ$5&lt;=$F54),IF(BZ$5=$E54+1,$C54,""),"")</f>
        <v/>
      </c>
      <c r="CA54" s="34">
        <f>IF(AND(CA$5&gt;$E54,CA$5&lt;=$F54),IF(CA$5=$E54+1,$C54,""),"")</f>
        <v/>
      </c>
      <c r="CB54" s="34">
        <f>IF(AND(CB$5&gt;$E54,CB$5&lt;=$F54),IF(CB$5=$E54+1,$C54,""),"")</f>
        <v/>
      </c>
      <c r="CC54" s="34">
        <f>IF(AND(CC$5&gt;$E54,CC$5&lt;=$F54),IF(CC$5=$E54+1,$C54,""),"")</f>
        <v/>
      </c>
      <c r="CD54" s="34">
        <f>IF(AND(CD$5&gt;$E54,CD$5&lt;=$F54),IF(CD$5=$E54+1,$C54,""),"")</f>
        <v/>
      </c>
      <c r="CE54" s="34">
        <f>IF(AND(CE$5&gt;$E54,CE$5&lt;=$F54),IF(CE$5=$E54+1,$C54,""),"")</f>
        <v/>
      </c>
      <c r="CF54" s="34">
        <f>IF(AND(CF$5&gt;$E54,CF$5&lt;=$F54),IF(CF$5=$E54+1,$C54,""),"")</f>
        <v/>
      </c>
      <c r="CG54" s="34">
        <f>IF(AND(CG$5&gt;$E54,CG$5&lt;=$F54),IF(CG$5=$E54+1,$C54,""),"")</f>
        <v/>
      </c>
      <c r="CH54" s="34">
        <f>IF(AND(CH$5&gt;$E54,CH$5&lt;=$F54),IF(CH$5=$E54+1,$C54,""),"")</f>
        <v/>
      </c>
      <c r="CI54" s="34">
        <f>IF(AND(CI$5&gt;$E54,CI$5&lt;=$F54),IF(CI$5=$E54+1,$C54,""),"")</f>
        <v/>
      </c>
      <c r="CJ54" s="34">
        <f>IF(AND(CJ$5&gt;$E54,CJ$5&lt;=$F54),IF(CJ$5=$E54+1,$C54,""),"")</f>
        <v/>
      </c>
      <c r="CK54" s="34">
        <f>IF(AND(CK$5&gt;$E54,CK$5&lt;=$F54),IF(CK$5=$E54+1,$C54,""),"")</f>
        <v/>
      </c>
      <c r="CL54" s="34">
        <f>IF(AND(CL$5&gt;$E54,CL$5&lt;=$F54),IF(CL$5=$E54+1,$C54,""),"")</f>
        <v/>
      </c>
      <c r="CM54" s="34">
        <f>IF(AND(CM$5&gt;$E54,CM$5&lt;=$F54),IF(CM$5=$E54+1,$C54,""),"")</f>
        <v/>
      </c>
      <c r="CN54" s="34">
        <f>IF(AND(CN$5&gt;$E54,CN$5&lt;=$F54),IF(CN$5=$E54+1,$C54,""),"")</f>
        <v/>
      </c>
      <c r="CO54" s="34">
        <f>IF(AND(CO$5&gt;$E54,CO$5&lt;=$F54),IF(CO$5=$E54+1,$C54,""),"")</f>
        <v/>
      </c>
      <c r="CP54" s="34">
        <f>IF(AND(CP$5&gt;$E54,CP$5&lt;=$F54),IF(CP$5=$E54+1,$C54,""),"")</f>
        <v/>
      </c>
      <c r="CQ54" s="34">
        <f>IF(AND(CQ$5&gt;$E54,CQ$5&lt;=$F54),IF(CQ$5=$E54+1,$C54,""),"")</f>
        <v/>
      </c>
      <c r="CR54" s="34">
        <f>IF(AND(CR$5&gt;$E54,CR$5&lt;=$F54),IF(CR$5=$E54+1,$C54,""),"")</f>
        <v/>
      </c>
      <c r="CS54" s="34">
        <f>IF(AND(CS$5&gt;$E54,CS$5&lt;=$F54),IF(CS$5=$E54+1,$C54,""),"")</f>
        <v/>
      </c>
    </row>
    <row r="55">
      <c r="A55" s="32">
        <f>Plan!A47</f>
        <v/>
      </c>
      <c r="B55" s="33">
        <f>Plan!C47</f>
        <v/>
      </c>
      <c r="C55" s="16">
        <f>Plan!D47</f>
        <v/>
      </c>
      <c r="D55" s="16">
        <f>Plan!I47</f>
        <v/>
      </c>
      <c r="E55" s="16">
        <f>Plan!K47</f>
        <v/>
      </c>
      <c r="F55" s="16">
        <f>Plan!L47</f>
        <v/>
      </c>
      <c r="G55" s="16">
        <f>Plan!O47</f>
        <v/>
      </c>
      <c r="H55" s="34">
        <f>IF(AND(H$5&gt;$E55,H$5&lt;=$F55),IF(H$5=$E55+1,$C55,""),"")</f>
        <v/>
      </c>
      <c r="I55" s="34">
        <f>IF(AND(I$5&gt;$E55,I$5&lt;=$F55),IF(I$5=$E55+1,$C55,""),"")</f>
        <v/>
      </c>
      <c r="J55" s="34">
        <f>IF(AND(J$5&gt;$E55,J$5&lt;=$F55),IF(J$5=$E55+1,$C55,""),"")</f>
        <v/>
      </c>
      <c r="K55" s="34">
        <f>IF(AND(K$5&gt;$E55,K$5&lt;=$F55),IF(K$5=$E55+1,$C55,""),"")</f>
        <v/>
      </c>
      <c r="L55" s="34">
        <f>IF(AND(L$5&gt;$E55,L$5&lt;=$F55),IF(L$5=$E55+1,$C55,""),"")</f>
        <v/>
      </c>
      <c r="M55" s="34">
        <f>IF(AND(M$5&gt;$E55,M$5&lt;=$F55),IF(M$5=$E55+1,$C55,""),"")</f>
        <v/>
      </c>
      <c r="N55" s="34">
        <f>IF(AND(N$5&gt;$E55,N$5&lt;=$F55),IF(N$5=$E55+1,$C55,""),"")</f>
        <v/>
      </c>
      <c r="O55" s="34">
        <f>IF(AND(O$5&gt;$E55,O$5&lt;=$F55),IF(O$5=$E55+1,$C55,""),"")</f>
        <v/>
      </c>
      <c r="P55" s="34">
        <f>IF(AND(P$5&gt;$E55,P$5&lt;=$F55),IF(P$5=$E55+1,$C55,""),"")</f>
        <v/>
      </c>
      <c r="Q55" s="34">
        <f>IF(AND(Q$5&gt;$E55,Q$5&lt;=$F55),IF(Q$5=$E55+1,$C55,""),"")</f>
        <v/>
      </c>
      <c r="R55" s="34">
        <f>IF(AND(R$5&gt;$E55,R$5&lt;=$F55),IF(R$5=$E55+1,$C55,""),"")</f>
        <v/>
      </c>
      <c r="S55" s="34">
        <f>IF(AND(S$5&gt;$E55,S$5&lt;=$F55),IF(S$5=$E55+1,$C55,""),"")</f>
        <v/>
      </c>
      <c r="T55" s="34">
        <f>IF(AND(T$5&gt;$E55,T$5&lt;=$F55),IF(T$5=$E55+1,$C55,""),"")</f>
        <v/>
      </c>
      <c r="U55" s="34">
        <f>IF(AND(U$5&gt;$E55,U$5&lt;=$F55),IF(U$5=$E55+1,$C55,""),"")</f>
        <v/>
      </c>
      <c r="V55" s="34">
        <f>IF(AND(V$5&gt;$E55,V$5&lt;=$F55),IF(V$5=$E55+1,$C55,""),"")</f>
        <v/>
      </c>
      <c r="W55" s="34">
        <f>IF(AND(W$5&gt;$E55,W$5&lt;=$F55),IF(W$5=$E55+1,$C55,""),"")</f>
        <v/>
      </c>
      <c r="X55" s="34">
        <f>IF(AND(X$5&gt;$E55,X$5&lt;=$F55),IF(X$5=$E55+1,$C55,""),"")</f>
        <v/>
      </c>
      <c r="Y55" s="34">
        <f>IF(AND(Y$5&gt;$E55,Y$5&lt;=$F55),IF(Y$5=$E55+1,$C55,""),"")</f>
        <v/>
      </c>
      <c r="Z55" s="34">
        <f>IF(AND(Z$5&gt;$E55,Z$5&lt;=$F55),IF(Z$5=$E55+1,$C55,""),"")</f>
        <v/>
      </c>
      <c r="AA55" s="34">
        <f>IF(AND(AA$5&gt;$E55,AA$5&lt;=$F55),IF(AA$5=$E55+1,$C55,""),"")</f>
        <v/>
      </c>
      <c r="AB55" s="34">
        <f>IF(AND(AB$5&gt;$E55,AB$5&lt;=$F55),IF(AB$5=$E55+1,$C55,""),"")</f>
        <v/>
      </c>
      <c r="AC55" s="34">
        <f>IF(AND(AC$5&gt;$E55,AC$5&lt;=$F55),IF(AC$5=$E55+1,$C55,""),"")</f>
        <v/>
      </c>
      <c r="AD55" s="34">
        <f>IF(AND(AD$5&gt;$E55,AD$5&lt;=$F55),IF(AD$5=$E55+1,$C55,""),"")</f>
        <v/>
      </c>
      <c r="AE55" s="34">
        <f>IF(AND(AE$5&gt;$E55,AE$5&lt;=$F55),IF(AE$5=$E55+1,$C55,""),"")</f>
        <v/>
      </c>
      <c r="AF55" s="34">
        <f>IF(AND(AF$5&gt;$E55,AF$5&lt;=$F55),IF(AF$5=$E55+1,$C55,""),"")</f>
        <v/>
      </c>
      <c r="AG55" s="34">
        <f>IF(AND(AG$5&gt;$E55,AG$5&lt;=$F55),IF(AG$5=$E55+1,$C55,""),"")</f>
        <v/>
      </c>
      <c r="AH55" s="34">
        <f>IF(AND(AH$5&gt;$E55,AH$5&lt;=$F55),IF(AH$5=$E55+1,$C55,""),"")</f>
        <v/>
      </c>
      <c r="AI55" s="34">
        <f>IF(AND(AI$5&gt;$E55,AI$5&lt;=$F55),IF(AI$5=$E55+1,$C55,""),"")</f>
        <v/>
      </c>
      <c r="AJ55" s="34">
        <f>IF(AND(AJ$5&gt;$E55,AJ$5&lt;=$F55),IF(AJ$5=$E55+1,$C55,""),"")</f>
        <v/>
      </c>
      <c r="AK55" s="34">
        <f>IF(AND(AK$5&gt;$E55,AK$5&lt;=$F55),IF(AK$5=$E55+1,$C55,""),"")</f>
        <v/>
      </c>
      <c r="AL55" s="34">
        <f>IF(AND(AL$5&gt;$E55,AL$5&lt;=$F55),IF(AL$5=$E55+1,$C55,""),"")</f>
        <v/>
      </c>
      <c r="AM55" s="34">
        <f>IF(AND(AM$5&gt;$E55,AM$5&lt;=$F55),IF(AM$5=$E55+1,$C55,""),"")</f>
        <v/>
      </c>
      <c r="AN55" s="34">
        <f>IF(AND(AN$5&gt;$E55,AN$5&lt;=$F55),IF(AN$5=$E55+1,$C55,""),"")</f>
        <v/>
      </c>
      <c r="AO55" s="34">
        <f>IF(AND(AO$5&gt;$E55,AO$5&lt;=$F55),IF(AO$5=$E55+1,$C55,""),"")</f>
        <v/>
      </c>
      <c r="AP55" s="34">
        <f>IF(AND(AP$5&gt;$E55,AP$5&lt;=$F55),IF(AP$5=$E55+1,$C55,""),"")</f>
        <v/>
      </c>
      <c r="AQ55" s="34">
        <f>IF(AND(AQ$5&gt;$E55,AQ$5&lt;=$F55),IF(AQ$5=$E55+1,$C55,""),"")</f>
        <v/>
      </c>
      <c r="AR55" s="34">
        <f>IF(AND(AR$5&gt;$E55,AR$5&lt;=$F55),IF(AR$5=$E55+1,$C55,""),"")</f>
        <v/>
      </c>
      <c r="AS55" s="34">
        <f>IF(AND(AS$5&gt;$E55,AS$5&lt;=$F55),IF(AS$5=$E55+1,$C55,""),"")</f>
        <v/>
      </c>
      <c r="AT55" s="34">
        <f>IF(AND(AT$5&gt;$E55,AT$5&lt;=$F55),IF(AT$5=$E55+1,$C55,""),"")</f>
        <v/>
      </c>
      <c r="AU55" s="34">
        <f>IF(AND(AU$5&gt;$E55,AU$5&lt;=$F55),IF(AU$5=$E55+1,$C55,""),"")</f>
        <v/>
      </c>
      <c r="AV55" s="34">
        <f>IF(AND(AV$5&gt;$E55,AV$5&lt;=$F55),IF(AV$5=$E55+1,$C55,""),"")</f>
        <v/>
      </c>
      <c r="AW55" s="34">
        <f>IF(AND(AW$5&gt;$E55,AW$5&lt;=$F55),IF(AW$5=$E55+1,$C55,""),"")</f>
        <v/>
      </c>
      <c r="AX55" s="34">
        <f>IF(AND(AX$5&gt;$E55,AX$5&lt;=$F55),IF(AX$5=$E55+1,$C55,""),"")</f>
        <v/>
      </c>
      <c r="AY55" s="34">
        <f>IF(AND(AY$5&gt;$E55,AY$5&lt;=$F55),IF(AY$5=$E55+1,$C55,""),"")</f>
        <v/>
      </c>
      <c r="AZ55" s="34">
        <f>IF(AND(AZ$5&gt;$E55,AZ$5&lt;=$F55),IF(AZ$5=$E55+1,$C55,""),"")</f>
        <v/>
      </c>
      <c r="BA55" s="34">
        <f>IF(AND(BA$5&gt;$E55,BA$5&lt;=$F55),IF(BA$5=$E55+1,$C55,""),"")</f>
        <v/>
      </c>
      <c r="BB55" s="34">
        <f>IF(AND(BB$5&gt;$E55,BB$5&lt;=$F55),IF(BB$5=$E55+1,$C55,""),"")</f>
        <v/>
      </c>
      <c r="BC55" s="34">
        <f>IF(AND(BC$5&gt;$E55,BC$5&lt;=$F55),IF(BC$5=$E55+1,$C55,""),"")</f>
        <v/>
      </c>
      <c r="BD55" s="34">
        <f>IF(AND(BD$5&gt;$E55,BD$5&lt;=$F55),IF(BD$5=$E55+1,$C55,""),"")</f>
        <v/>
      </c>
      <c r="BE55" s="34">
        <f>IF(AND(BE$5&gt;$E55,BE$5&lt;=$F55),IF(BE$5=$E55+1,$C55,""),"")</f>
        <v/>
      </c>
      <c r="BF55" s="34">
        <f>IF(AND(BF$5&gt;$E55,BF$5&lt;=$F55),IF(BF$5=$E55+1,$C55,""),"")</f>
        <v/>
      </c>
      <c r="BG55" s="34">
        <f>IF(AND(BG$5&gt;$E55,BG$5&lt;=$F55),IF(BG$5=$E55+1,$C55,""),"")</f>
        <v/>
      </c>
      <c r="BH55" s="34">
        <f>IF(AND(BH$5&gt;$E55,BH$5&lt;=$F55),IF(BH$5=$E55+1,$C55,""),"")</f>
        <v/>
      </c>
      <c r="BI55" s="34">
        <f>IF(AND(BI$5&gt;$E55,BI$5&lt;=$F55),IF(BI$5=$E55+1,$C55,""),"")</f>
        <v/>
      </c>
      <c r="BJ55" s="34">
        <f>IF(AND(BJ$5&gt;$E55,BJ$5&lt;=$F55),IF(BJ$5=$E55+1,$C55,""),"")</f>
        <v/>
      </c>
      <c r="BK55" s="34">
        <f>IF(AND(BK$5&gt;$E55,BK$5&lt;=$F55),IF(BK$5=$E55+1,$C55,""),"")</f>
        <v/>
      </c>
      <c r="BL55" s="34">
        <f>IF(AND(BL$5&gt;$E55,BL$5&lt;=$F55),IF(BL$5=$E55+1,$C55,""),"")</f>
        <v/>
      </c>
      <c r="BM55" s="34">
        <f>IF(AND(BM$5&gt;$E55,BM$5&lt;=$F55),IF(BM$5=$E55+1,$C55,""),"")</f>
        <v/>
      </c>
      <c r="BN55" s="34">
        <f>IF(AND(BN$5&gt;$E55,BN$5&lt;=$F55),IF(BN$5=$E55+1,$C55,""),"")</f>
        <v/>
      </c>
      <c r="BO55" s="34">
        <f>IF(AND(BO$5&gt;$E55,BO$5&lt;=$F55),IF(BO$5=$E55+1,$C55,""),"")</f>
        <v/>
      </c>
      <c r="BP55" s="34">
        <f>IF(AND(BP$5&gt;$E55,BP$5&lt;=$F55),IF(BP$5=$E55+1,$C55,""),"")</f>
        <v/>
      </c>
      <c r="BQ55" s="34">
        <f>IF(AND(BQ$5&gt;$E55,BQ$5&lt;=$F55),IF(BQ$5=$E55+1,$C55,""),"")</f>
        <v/>
      </c>
      <c r="BR55" s="34">
        <f>IF(AND(BR$5&gt;$E55,BR$5&lt;=$F55),IF(BR$5=$E55+1,$C55,""),"")</f>
        <v/>
      </c>
      <c r="BS55" s="34">
        <f>IF(AND(BS$5&gt;$E55,BS$5&lt;=$F55),IF(BS$5=$E55+1,$C55,""),"")</f>
        <v/>
      </c>
      <c r="BT55" s="34">
        <f>IF(AND(BT$5&gt;$E55,BT$5&lt;=$F55),IF(BT$5=$E55+1,$C55,""),"")</f>
        <v/>
      </c>
      <c r="BU55" s="34">
        <f>IF(AND(BU$5&gt;$E55,BU$5&lt;=$F55),IF(BU$5=$E55+1,$C55,""),"")</f>
        <v/>
      </c>
      <c r="BV55" s="34">
        <f>IF(AND(BV$5&gt;$E55,BV$5&lt;=$F55),IF(BV$5=$E55+1,$C55,""),"")</f>
        <v/>
      </c>
      <c r="BW55" s="34">
        <f>IF(AND(BW$5&gt;$E55,BW$5&lt;=$F55),IF(BW$5=$E55+1,$C55,""),"")</f>
        <v/>
      </c>
      <c r="BX55" s="34">
        <f>IF(AND(BX$5&gt;$E55,BX$5&lt;=$F55),IF(BX$5=$E55+1,$C55,""),"")</f>
        <v/>
      </c>
      <c r="BY55" s="34">
        <f>IF(AND(BY$5&gt;$E55,BY$5&lt;=$F55),IF(BY$5=$E55+1,$C55,""),"")</f>
        <v/>
      </c>
      <c r="BZ55" s="34">
        <f>IF(AND(BZ$5&gt;$E55,BZ$5&lt;=$F55),IF(BZ$5=$E55+1,$C55,""),"")</f>
        <v/>
      </c>
      <c r="CA55" s="34">
        <f>IF(AND(CA$5&gt;$E55,CA$5&lt;=$F55),IF(CA$5=$E55+1,$C55,""),"")</f>
        <v/>
      </c>
      <c r="CB55" s="34">
        <f>IF(AND(CB$5&gt;$E55,CB$5&lt;=$F55),IF(CB$5=$E55+1,$C55,""),"")</f>
        <v/>
      </c>
      <c r="CC55" s="34">
        <f>IF(AND(CC$5&gt;$E55,CC$5&lt;=$F55),IF(CC$5=$E55+1,$C55,""),"")</f>
        <v/>
      </c>
      <c r="CD55" s="34">
        <f>IF(AND(CD$5&gt;$E55,CD$5&lt;=$F55),IF(CD$5=$E55+1,$C55,""),"")</f>
        <v/>
      </c>
      <c r="CE55" s="34">
        <f>IF(AND(CE$5&gt;$E55,CE$5&lt;=$F55),IF(CE$5=$E55+1,$C55,""),"")</f>
        <v/>
      </c>
      <c r="CF55" s="34">
        <f>IF(AND(CF$5&gt;$E55,CF$5&lt;=$F55),IF(CF$5=$E55+1,$C55,""),"")</f>
        <v/>
      </c>
      <c r="CG55" s="34">
        <f>IF(AND(CG$5&gt;$E55,CG$5&lt;=$F55),IF(CG$5=$E55+1,$C55,""),"")</f>
        <v/>
      </c>
      <c r="CH55" s="34">
        <f>IF(AND(CH$5&gt;$E55,CH$5&lt;=$F55),IF(CH$5=$E55+1,$C55,""),"")</f>
        <v/>
      </c>
      <c r="CI55" s="34">
        <f>IF(AND(CI$5&gt;$E55,CI$5&lt;=$F55),IF(CI$5=$E55+1,$C55,""),"")</f>
        <v/>
      </c>
      <c r="CJ55" s="34">
        <f>IF(AND(CJ$5&gt;$E55,CJ$5&lt;=$F55),IF(CJ$5=$E55+1,$C55,""),"")</f>
        <v/>
      </c>
      <c r="CK55" s="34">
        <f>IF(AND(CK$5&gt;$E55,CK$5&lt;=$F55),IF(CK$5=$E55+1,$C55,""),"")</f>
        <v/>
      </c>
      <c r="CL55" s="34">
        <f>IF(AND(CL$5&gt;$E55,CL$5&lt;=$F55),IF(CL$5=$E55+1,$C55,""),"")</f>
        <v/>
      </c>
      <c r="CM55" s="34">
        <f>IF(AND(CM$5&gt;$E55,CM$5&lt;=$F55),IF(CM$5=$E55+1,$C55,""),"")</f>
        <v/>
      </c>
      <c r="CN55" s="34">
        <f>IF(AND(CN$5&gt;$E55,CN$5&lt;=$F55),IF(CN$5=$E55+1,$C55,""),"")</f>
        <v/>
      </c>
      <c r="CO55" s="34">
        <f>IF(AND(CO$5&gt;$E55,CO$5&lt;=$F55),IF(CO$5=$E55+1,$C55,""),"")</f>
        <v/>
      </c>
      <c r="CP55" s="34">
        <f>IF(AND(CP$5&gt;$E55,CP$5&lt;=$F55),IF(CP$5=$E55+1,$C55,""),"")</f>
        <v/>
      </c>
      <c r="CQ55" s="34">
        <f>IF(AND(CQ$5&gt;$E55,CQ$5&lt;=$F55),IF(CQ$5=$E55+1,$C55,""),"")</f>
        <v/>
      </c>
      <c r="CR55" s="34">
        <f>IF(AND(CR$5&gt;$E55,CR$5&lt;=$F55),IF(CR$5=$E55+1,$C55,""),"")</f>
        <v/>
      </c>
      <c r="CS55" s="34">
        <f>IF(AND(CS$5&gt;$E55,CS$5&lt;=$F55),IF(CS$5=$E55+1,$C55,""),"")</f>
        <v/>
      </c>
    </row>
    <row r="56">
      <c r="A56" s="27" t="inlineStr">
        <is>
          <t>Fase 5. Convenios y pulido</t>
        </is>
      </c>
      <c r="B56" s="28" t="n"/>
      <c r="C56" s="28" t="n"/>
      <c r="D56" s="28" t="n"/>
      <c r="E56" s="29">
        <f>SUMPRODUCT(MIN((Plan!$B$5:$B$76="5. Convenios y pulido")*Plan!$K$5:$K$76+(Plan!$B$5:$B$76&lt;&gt;"5. Convenios y pulido")*1E9))</f>
        <v/>
      </c>
      <c r="F56" s="29">
        <f>SUMPRODUCT(MAX((Plan!$B$5:$B$76="5. Convenios y pulido")*Plan!$L$5:$L$76))</f>
        <v/>
      </c>
      <c r="G56" s="30">
        <f>Resumen!E33</f>
        <v/>
      </c>
      <c r="H56" s="31" t="n"/>
      <c r="I56" s="31" t="n"/>
      <c r="J56" s="31" t="n"/>
      <c r="K56" s="31" t="n"/>
      <c r="L56" s="31" t="n"/>
      <c r="M56" s="31" t="n"/>
      <c r="N56" s="31" t="n"/>
      <c r="O56" s="31" t="n"/>
      <c r="P56" s="31" t="n"/>
      <c r="Q56" s="31" t="n"/>
      <c r="R56" s="31" t="n"/>
      <c r="S56" s="31" t="n"/>
      <c r="T56" s="31" t="n"/>
      <c r="U56" s="31" t="n"/>
      <c r="V56" s="31" t="n"/>
      <c r="W56" s="31" t="n"/>
      <c r="X56" s="31" t="n"/>
      <c r="Y56" s="31" t="n"/>
      <c r="Z56" s="31" t="n"/>
      <c r="AA56" s="31" t="n"/>
      <c r="AB56" s="31" t="n"/>
      <c r="AC56" s="31" t="n"/>
      <c r="AD56" s="31" t="n"/>
      <c r="AE56" s="31" t="n"/>
      <c r="AF56" s="31" t="n"/>
      <c r="AG56" s="31" t="n"/>
      <c r="AH56" s="31" t="n"/>
      <c r="AI56" s="31" t="n"/>
      <c r="AJ56" s="31" t="n"/>
      <c r="AK56" s="31" t="n"/>
      <c r="AL56" s="31" t="n"/>
      <c r="AM56" s="31" t="n"/>
      <c r="AN56" s="31" t="n"/>
      <c r="AO56" s="31" t="n"/>
      <c r="AP56" s="31" t="n"/>
      <c r="AQ56" s="31" t="n"/>
      <c r="AR56" s="31" t="n"/>
      <c r="AS56" s="31" t="n"/>
      <c r="AT56" s="31" t="n"/>
      <c r="AU56" s="31" t="n"/>
      <c r="AV56" s="31" t="n"/>
      <c r="AW56" s="31" t="n"/>
      <c r="AX56" s="31" t="n"/>
      <c r="AY56" s="31" t="n"/>
      <c r="AZ56" s="31" t="n"/>
      <c r="BA56" s="31" t="n"/>
      <c r="BB56" s="31" t="n"/>
      <c r="BC56" s="31" t="n"/>
      <c r="BD56" s="31" t="n"/>
      <c r="BE56" s="31" t="n"/>
      <c r="BF56" s="31" t="n"/>
      <c r="BG56" s="31" t="n"/>
      <c r="BH56" s="31" t="n"/>
      <c r="BI56" s="31" t="n"/>
      <c r="BJ56" s="31" t="n"/>
      <c r="BK56" s="31" t="n"/>
      <c r="BL56" s="31" t="n"/>
      <c r="BM56" s="31" t="n"/>
      <c r="BN56" s="31" t="n"/>
      <c r="BO56" s="31" t="n"/>
      <c r="BP56" s="31" t="n"/>
      <c r="BQ56" s="31" t="n"/>
      <c r="BR56" s="31" t="n"/>
      <c r="BS56" s="31" t="n"/>
      <c r="BT56" s="31" t="n"/>
      <c r="BU56" s="31" t="n"/>
      <c r="BV56" s="31" t="n"/>
      <c r="BW56" s="31" t="n"/>
      <c r="BX56" s="31" t="n"/>
      <c r="BY56" s="31" t="n"/>
      <c r="BZ56" s="31" t="n"/>
      <c r="CA56" s="31" t="n"/>
      <c r="CB56" s="31" t="n"/>
      <c r="CC56" s="31" t="n"/>
      <c r="CD56" s="31" t="n"/>
      <c r="CE56" s="31" t="n"/>
      <c r="CF56" s="31" t="n"/>
      <c r="CG56" s="31" t="n"/>
      <c r="CH56" s="31" t="n"/>
      <c r="CI56" s="31" t="n"/>
      <c r="CJ56" s="31" t="n"/>
      <c r="CK56" s="31" t="n"/>
      <c r="CL56" s="31" t="n"/>
      <c r="CM56" s="31" t="n"/>
      <c r="CN56" s="31" t="n"/>
      <c r="CO56" s="31" t="n"/>
      <c r="CP56" s="31" t="n"/>
      <c r="CQ56" s="31" t="n"/>
      <c r="CR56" s="31" t="n"/>
      <c r="CS56" s="31" t="n"/>
    </row>
    <row r="57">
      <c r="A57" s="32">
        <f>Plan!A48</f>
        <v/>
      </c>
      <c r="B57" s="33">
        <f>Plan!C48</f>
        <v/>
      </c>
      <c r="C57" s="16">
        <f>Plan!D48</f>
        <v/>
      </c>
      <c r="D57" s="16">
        <f>Plan!I48</f>
        <v/>
      </c>
      <c r="E57" s="16">
        <f>Plan!K48</f>
        <v/>
      </c>
      <c r="F57" s="16">
        <f>Plan!L48</f>
        <v/>
      </c>
      <c r="G57" s="16">
        <f>Plan!O48</f>
        <v/>
      </c>
      <c r="H57" s="34">
        <f>IF(AND(H$5&gt;$E57,H$5&lt;=$F57),IF(H$5=$E57+1,$C57,""),"")</f>
        <v/>
      </c>
      <c r="I57" s="34">
        <f>IF(AND(I$5&gt;$E57,I$5&lt;=$F57),IF(I$5=$E57+1,$C57,""),"")</f>
        <v/>
      </c>
      <c r="J57" s="34">
        <f>IF(AND(J$5&gt;$E57,J$5&lt;=$F57),IF(J$5=$E57+1,$C57,""),"")</f>
        <v/>
      </c>
      <c r="K57" s="34">
        <f>IF(AND(K$5&gt;$E57,K$5&lt;=$F57),IF(K$5=$E57+1,$C57,""),"")</f>
        <v/>
      </c>
      <c r="L57" s="34">
        <f>IF(AND(L$5&gt;$E57,L$5&lt;=$F57),IF(L$5=$E57+1,$C57,""),"")</f>
        <v/>
      </c>
      <c r="M57" s="34">
        <f>IF(AND(M$5&gt;$E57,M$5&lt;=$F57),IF(M$5=$E57+1,$C57,""),"")</f>
        <v/>
      </c>
      <c r="N57" s="34">
        <f>IF(AND(N$5&gt;$E57,N$5&lt;=$F57),IF(N$5=$E57+1,$C57,""),"")</f>
        <v/>
      </c>
      <c r="O57" s="34">
        <f>IF(AND(O$5&gt;$E57,O$5&lt;=$F57),IF(O$5=$E57+1,$C57,""),"")</f>
        <v/>
      </c>
      <c r="P57" s="34">
        <f>IF(AND(P$5&gt;$E57,P$5&lt;=$F57),IF(P$5=$E57+1,$C57,""),"")</f>
        <v/>
      </c>
      <c r="Q57" s="34">
        <f>IF(AND(Q$5&gt;$E57,Q$5&lt;=$F57),IF(Q$5=$E57+1,$C57,""),"")</f>
        <v/>
      </c>
      <c r="R57" s="34">
        <f>IF(AND(R$5&gt;$E57,R$5&lt;=$F57),IF(R$5=$E57+1,$C57,""),"")</f>
        <v/>
      </c>
      <c r="S57" s="34">
        <f>IF(AND(S$5&gt;$E57,S$5&lt;=$F57),IF(S$5=$E57+1,$C57,""),"")</f>
        <v/>
      </c>
      <c r="T57" s="34">
        <f>IF(AND(T$5&gt;$E57,T$5&lt;=$F57),IF(T$5=$E57+1,$C57,""),"")</f>
        <v/>
      </c>
      <c r="U57" s="34">
        <f>IF(AND(U$5&gt;$E57,U$5&lt;=$F57),IF(U$5=$E57+1,$C57,""),"")</f>
        <v/>
      </c>
      <c r="V57" s="34">
        <f>IF(AND(V$5&gt;$E57,V$5&lt;=$F57),IF(V$5=$E57+1,$C57,""),"")</f>
        <v/>
      </c>
      <c r="W57" s="34">
        <f>IF(AND(W$5&gt;$E57,W$5&lt;=$F57),IF(W$5=$E57+1,$C57,""),"")</f>
        <v/>
      </c>
      <c r="X57" s="34">
        <f>IF(AND(X$5&gt;$E57,X$5&lt;=$F57),IF(X$5=$E57+1,$C57,""),"")</f>
        <v/>
      </c>
      <c r="Y57" s="34">
        <f>IF(AND(Y$5&gt;$E57,Y$5&lt;=$F57),IF(Y$5=$E57+1,$C57,""),"")</f>
        <v/>
      </c>
      <c r="Z57" s="34">
        <f>IF(AND(Z$5&gt;$E57,Z$5&lt;=$F57),IF(Z$5=$E57+1,$C57,""),"")</f>
        <v/>
      </c>
      <c r="AA57" s="34">
        <f>IF(AND(AA$5&gt;$E57,AA$5&lt;=$F57),IF(AA$5=$E57+1,$C57,""),"")</f>
        <v/>
      </c>
      <c r="AB57" s="34">
        <f>IF(AND(AB$5&gt;$E57,AB$5&lt;=$F57),IF(AB$5=$E57+1,$C57,""),"")</f>
        <v/>
      </c>
      <c r="AC57" s="34">
        <f>IF(AND(AC$5&gt;$E57,AC$5&lt;=$F57),IF(AC$5=$E57+1,$C57,""),"")</f>
        <v/>
      </c>
      <c r="AD57" s="34">
        <f>IF(AND(AD$5&gt;$E57,AD$5&lt;=$F57),IF(AD$5=$E57+1,$C57,""),"")</f>
        <v/>
      </c>
      <c r="AE57" s="34">
        <f>IF(AND(AE$5&gt;$E57,AE$5&lt;=$F57),IF(AE$5=$E57+1,$C57,""),"")</f>
        <v/>
      </c>
      <c r="AF57" s="34">
        <f>IF(AND(AF$5&gt;$E57,AF$5&lt;=$F57),IF(AF$5=$E57+1,$C57,""),"")</f>
        <v/>
      </c>
      <c r="AG57" s="34">
        <f>IF(AND(AG$5&gt;$E57,AG$5&lt;=$F57),IF(AG$5=$E57+1,$C57,""),"")</f>
        <v/>
      </c>
      <c r="AH57" s="34">
        <f>IF(AND(AH$5&gt;$E57,AH$5&lt;=$F57),IF(AH$5=$E57+1,$C57,""),"")</f>
        <v/>
      </c>
      <c r="AI57" s="34">
        <f>IF(AND(AI$5&gt;$E57,AI$5&lt;=$F57),IF(AI$5=$E57+1,$C57,""),"")</f>
        <v/>
      </c>
      <c r="AJ57" s="34">
        <f>IF(AND(AJ$5&gt;$E57,AJ$5&lt;=$F57),IF(AJ$5=$E57+1,$C57,""),"")</f>
        <v/>
      </c>
      <c r="AK57" s="34">
        <f>IF(AND(AK$5&gt;$E57,AK$5&lt;=$F57),IF(AK$5=$E57+1,$C57,""),"")</f>
        <v/>
      </c>
      <c r="AL57" s="34">
        <f>IF(AND(AL$5&gt;$E57,AL$5&lt;=$F57),IF(AL$5=$E57+1,$C57,""),"")</f>
        <v/>
      </c>
      <c r="AM57" s="34">
        <f>IF(AND(AM$5&gt;$E57,AM$5&lt;=$F57),IF(AM$5=$E57+1,$C57,""),"")</f>
        <v/>
      </c>
      <c r="AN57" s="34">
        <f>IF(AND(AN$5&gt;$E57,AN$5&lt;=$F57),IF(AN$5=$E57+1,$C57,""),"")</f>
        <v/>
      </c>
      <c r="AO57" s="34">
        <f>IF(AND(AO$5&gt;$E57,AO$5&lt;=$F57),IF(AO$5=$E57+1,$C57,""),"")</f>
        <v/>
      </c>
      <c r="AP57" s="34">
        <f>IF(AND(AP$5&gt;$E57,AP$5&lt;=$F57),IF(AP$5=$E57+1,$C57,""),"")</f>
        <v/>
      </c>
      <c r="AQ57" s="34">
        <f>IF(AND(AQ$5&gt;$E57,AQ$5&lt;=$F57),IF(AQ$5=$E57+1,$C57,""),"")</f>
        <v/>
      </c>
      <c r="AR57" s="34">
        <f>IF(AND(AR$5&gt;$E57,AR$5&lt;=$F57),IF(AR$5=$E57+1,$C57,""),"")</f>
        <v/>
      </c>
      <c r="AS57" s="34">
        <f>IF(AND(AS$5&gt;$E57,AS$5&lt;=$F57),IF(AS$5=$E57+1,$C57,""),"")</f>
        <v/>
      </c>
      <c r="AT57" s="34">
        <f>IF(AND(AT$5&gt;$E57,AT$5&lt;=$F57),IF(AT$5=$E57+1,$C57,""),"")</f>
        <v/>
      </c>
      <c r="AU57" s="34">
        <f>IF(AND(AU$5&gt;$E57,AU$5&lt;=$F57),IF(AU$5=$E57+1,$C57,""),"")</f>
        <v/>
      </c>
      <c r="AV57" s="34">
        <f>IF(AND(AV$5&gt;$E57,AV$5&lt;=$F57),IF(AV$5=$E57+1,$C57,""),"")</f>
        <v/>
      </c>
      <c r="AW57" s="34">
        <f>IF(AND(AW$5&gt;$E57,AW$5&lt;=$F57),IF(AW$5=$E57+1,$C57,""),"")</f>
        <v/>
      </c>
      <c r="AX57" s="34">
        <f>IF(AND(AX$5&gt;$E57,AX$5&lt;=$F57),IF(AX$5=$E57+1,$C57,""),"")</f>
        <v/>
      </c>
      <c r="AY57" s="34">
        <f>IF(AND(AY$5&gt;$E57,AY$5&lt;=$F57),IF(AY$5=$E57+1,$C57,""),"")</f>
        <v/>
      </c>
      <c r="AZ57" s="34">
        <f>IF(AND(AZ$5&gt;$E57,AZ$5&lt;=$F57),IF(AZ$5=$E57+1,$C57,""),"")</f>
        <v/>
      </c>
      <c r="BA57" s="34">
        <f>IF(AND(BA$5&gt;$E57,BA$5&lt;=$F57),IF(BA$5=$E57+1,$C57,""),"")</f>
        <v/>
      </c>
      <c r="BB57" s="34">
        <f>IF(AND(BB$5&gt;$E57,BB$5&lt;=$F57),IF(BB$5=$E57+1,$C57,""),"")</f>
        <v/>
      </c>
      <c r="BC57" s="34">
        <f>IF(AND(BC$5&gt;$E57,BC$5&lt;=$F57),IF(BC$5=$E57+1,$C57,""),"")</f>
        <v/>
      </c>
      <c r="BD57" s="34">
        <f>IF(AND(BD$5&gt;$E57,BD$5&lt;=$F57),IF(BD$5=$E57+1,$C57,""),"")</f>
        <v/>
      </c>
      <c r="BE57" s="34">
        <f>IF(AND(BE$5&gt;$E57,BE$5&lt;=$F57),IF(BE$5=$E57+1,$C57,""),"")</f>
        <v/>
      </c>
      <c r="BF57" s="34">
        <f>IF(AND(BF$5&gt;$E57,BF$5&lt;=$F57),IF(BF$5=$E57+1,$C57,""),"")</f>
        <v/>
      </c>
      <c r="BG57" s="34">
        <f>IF(AND(BG$5&gt;$E57,BG$5&lt;=$F57),IF(BG$5=$E57+1,$C57,""),"")</f>
        <v/>
      </c>
      <c r="BH57" s="34">
        <f>IF(AND(BH$5&gt;$E57,BH$5&lt;=$F57),IF(BH$5=$E57+1,$C57,""),"")</f>
        <v/>
      </c>
      <c r="BI57" s="34">
        <f>IF(AND(BI$5&gt;$E57,BI$5&lt;=$F57),IF(BI$5=$E57+1,$C57,""),"")</f>
        <v/>
      </c>
      <c r="BJ57" s="34">
        <f>IF(AND(BJ$5&gt;$E57,BJ$5&lt;=$F57),IF(BJ$5=$E57+1,$C57,""),"")</f>
        <v/>
      </c>
      <c r="BK57" s="34">
        <f>IF(AND(BK$5&gt;$E57,BK$5&lt;=$F57),IF(BK$5=$E57+1,$C57,""),"")</f>
        <v/>
      </c>
      <c r="BL57" s="34">
        <f>IF(AND(BL$5&gt;$E57,BL$5&lt;=$F57),IF(BL$5=$E57+1,$C57,""),"")</f>
        <v/>
      </c>
      <c r="BM57" s="34">
        <f>IF(AND(BM$5&gt;$E57,BM$5&lt;=$F57),IF(BM$5=$E57+1,$C57,""),"")</f>
        <v/>
      </c>
      <c r="BN57" s="34">
        <f>IF(AND(BN$5&gt;$E57,BN$5&lt;=$F57),IF(BN$5=$E57+1,$C57,""),"")</f>
        <v/>
      </c>
      <c r="BO57" s="34">
        <f>IF(AND(BO$5&gt;$E57,BO$5&lt;=$F57),IF(BO$5=$E57+1,$C57,""),"")</f>
        <v/>
      </c>
      <c r="BP57" s="34">
        <f>IF(AND(BP$5&gt;$E57,BP$5&lt;=$F57),IF(BP$5=$E57+1,$C57,""),"")</f>
        <v/>
      </c>
      <c r="BQ57" s="34">
        <f>IF(AND(BQ$5&gt;$E57,BQ$5&lt;=$F57),IF(BQ$5=$E57+1,$C57,""),"")</f>
        <v/>
      </c>
      <c r="BR57" s="34">
        <f>IF(AND(BR$5&gt;$E57,BR$5&lt;=$F57),IF(BR$5=$E57+1,$C57,""),"")</f>
        <v/>
      </c>
      <c r="BS57" s="34">
        <f>IF(AND(BS$5&gt;$E57,BS$5&lt;=$F57),IF(BS$5=$E57+1,$C57,""),"")</f>
        <v/>
      </c>
      <c r="BT57" s="34">
        <f>IF(AND(BT$5&gt;$E57,BT$5&lt;=$F57),IF(BT$5=$E57+1,$C57,""),"")</f>
        <v/>
      </c>
      <c r="BU57" s="34">
        <f>IF(AND(BU$5&gt;$E57,BU$5&lt;=$F57),IF(BU$5=$E57+1,$C57,""),"")</f>
        <v/>
      </c>
      <c r="BV57" s="34">
        <f>IF(AND(BV$5&gt;$E57,BV$5&lt;=$F57),IF(BV$5=$E57+1,$C57,""),"")</f>
        <v/>
      </c>
      <c r="BW57" s="34">
        <f>IF(AND(BW$5&gt;$E57,BW$5&lt;=$F57),IF(BW$5=$E57+1,$C57,""),"")</f>
        <v/>
      </c>
      <c r="BX57" s="34">
        <f>IF(AND(BX$5&gt;$E57,BX$5&lt;=$F57),IF(BX$5=$E57+1,$C57,""),"")</f>
        <v/>
      </c>
      <c r="BY57" s="34">
        <f>IF(AND(BY$5&gt;$E57,BY$5&lt;=$F57),IF(BY$5=$E57+1,$C57,""),"")</f>
        <v/>
      </c>
      <c r="BZ57" s="34">
        <f>IF(AND(BZ$5&gt;$E57,BZ$5&lt;=$F57),IF(BZ$5=$E57+1,$C57,""),"")</f>
        <v/>
      </c>
      <c r="CA57" s="34">
        <f>IF(AND(CA$5&gt;$E57,CA$5&lt;=$F57),IF(CA$5=$E57+1,$C57,""),"")</f>
        <v/>
      </c>
      <c r="CB57" s="34">
        <f>IF(AND(CB$5&gt;$E57,CB$5&lt;=$F57),IF(CB$5=$E57+1,$C57,""),"")</f>
        <v/>
      </c>
      <c r="CC57" s="34">
        <f>IF(AND(CC$5&gt;$E57,CC$5&lt;=$F57),IF(CC$5=$E57+1,$C57,""),"")</f>
        <v/>
      </c>
      <c r="CD57" s="34">
        <f>IF(AND(CD$5&gt;$E57,CD$5&lt;=$F57),IF(CD$5=$E57+1,$C57,""),"")</f>
        <v/>
      </c>
      <c r="CE57" s="34">
        <f>IF(AND(CE$5&gt;$E57,CE$5&lt;=$F57),IF(CE$5=$E57+1,$C57,""),"")</f>
        <v/>
      </c>
      <c r="CF57" s="34">
        <f>IF(AND(CF$5&gt;$E57,CF$5&lt;=$F57),IF(CF$5=$E57+1,$C57,""),"")</f>
        <v/>
      </c>
      <c r="CG57" s="34">
        <f>IF(AND(CG$5&gt;$E57,CG$5&lt;=$F57),IF(CG$5=$E57+1,$C57,""),"")</f>
        <v/>
      </c>
      <c r="CH57" s="34">
        <f>IF(AND(CH$5&gt;$E57,CH$5&lt;=$F57),IF(CH$5=$E57+1,$C57,""),"")</f>
        <v/>
      </c>
      <c r="CI57" s="34">
        <f>IF(AND(CI$5&gt;$E57,CI$5&lt;=$F57),IF(CI$5=$E57+1,$C57,""),"")</f>
        <v/>
      </c>
      <c r="CJ57" s="34">
        <f>IF(AND(CJ$5&gt;$E57,CJ$5&lt;=$F57),IF(CJ$5=$E57+1,$C57,""),"")</f>
        <v/>
      </c>
      <c r="CK57" s="34">
        <f>IF(AND(CK$5&gt;$E57,CK$5&lt;=$F57),IF(CK$5=$E57+1,$C57,""),"")</f>
        <v/>
      </c>
      <c r="CL57" s="34">
        <f>IF(AND(CL$5&gt;$E57,CL$5&lt;=$F57),IF(CL$5=$E57+1,$C57,""),"")</f>
        <v/>
      </c>
      <c r="CM57" s="34">
        <f>IF(AND(CM$5&gt;$E57,CM$5&lt;=$F57),IF(CM$5=$E57+1,$C57,""),"")</f>
        <v/>
      </c>
      <c r="CN57" s="34">
        <f>IF(AND(CN$5&gt;$E57,CN$5&lt;=$F57),IF(CN$5=$E57+1,$C57,""),"")</f>
        <v/>
      </c>
      <c r="CO57" s="34">
        <f>IF(AND(CO$5&gt;$E57,CO$5&lt;=$F57),IF(CO$5=$E57+1,$C57,""),"")</f>
        <v/>
      </c>
      <c r="CP57" s="34">
        <f>IF(AND(CP$5&gt;$E57,CP$5&lt;=$F57),IF(CP$5=$E57+1,$C57,""),"")</f>
        <v/>
      </c>
      <c r="CQ57" s="34">
        <f>IF(AND(CQ$5&gt;$E57,CQ$5&lt;=$F57),IF(CQ$5=$E57+1,$C57,""),"")</f>
        <v/>
      </c>
      <c r="CR57" s="34">
        <f>IF(AND(CR$5&gt;$E57,CR$5&lt;=$F57),IF(CR$5=$E57+1,$C57,""),"")</f>
        <v/>
      </c>
      <c r="CS57" s="34">
        <f>IF(AND(CS$5&gt;$E57,CS$5&lt;=$F57),IF(CS$5=$E57+1,$C57,""),"")</f>
        <v/>
      </c>
    </row>
    <row r="58">
      <c r="A58" s="32">
        <f>Plan!A49</f>
        <v/>
      </c>
      <c r="B58" s="33">
        <f>Plan!C49</f>
        <v/>
      </c>
      <c r="C58" s="16">
        <f>Plan!D49</f>
        <v/>
      </c>
      <c r="D58" s="16">
        <f>Plan!I49</f>
        <v/>
      </c>
      <c r="E58" s="16">
        <f>Plan!K49</f>
        <v/>
      </c>
      <c r="F58" s="16">
        <f>Plan!L49</f>
        <v/>
      </c>
      <c r="G58" s="16">
        <f>Plan!O49</f>
        <v/>
      </c>
      <c r="H58" s="34">
        <f>IF(AND(H$5&gt;$E58,H$5&lt;=$F58),IF(H$5=$E58+1,$C58,""),"")</f>
        <v/>
      </c>
      <c r="I58" s="34">
        <f>IF(AND(I$5&gt;$E58,I$5&lt;=$F58),IF(I$5=$E58+1,$C58,""),"")</f>
        <v/>
      </c>
      <c r="J58" s="34">
        <f>IF(AND(J$5&gt;$E58,J$5&lt;=$F58),IF(J$5=$E58+1,$C58,""),"")</f>
        <v/>
      </c>
      <c r="K58" s="34">
        <f>IF(AND(K$5&gt;$E58,K$5&lt;=$F58),IF(K$5=$E58+1,$C58,""),"")</f>
        <v/>
      </c>
      <c r="L58" s="34">
        <f>IF(AND(L$5&gt;$E58,L$5&lt;=$F58),IF(L$5=$E58+1,$C58,""),"")</f>
        <v/>
      </c>
      <c r="M58" s="34">
        <f>IF(AND(M$5&gt;$E58,M$5&lt;=$F58),IF(M$5=$E58+1,$C58,""),"")</f>
        <v/>
      </c>
      <c r="N58" s="34">
        <f>IF(AND(N$5&gt;$E58,N$5&lt;=$F58),IF(N$5=$E58+1,$C58,""),"")</f>
        <v/>
      </c>
      <c r="O58" s="34">
        <f>IF(AND(O$5&gt;$E58,O$5&lt;=$F58),IF(O$5=$E58+1,$C58,""),"")</f>
        <v/>
      </c>
      <c r="P58" s="34">
        <f>IF(AND(P$5&gt;$E58,P$5&lt;=$F58),IF(P$5=$E58+1,$C58,""),"")</f>
        <v/>
      </c>
      <c r="Q58" s="34">
        <f>IF(AND(Q$5&gt;$E58,Q$5&lt;=$F58),IF(Q$5=$E58+1,$C58,""),"")</f>
        <v/>
      </c>
      <c r="R58" s="34">
        <f>IF(AND(R$5&gt;$E58,R$5&lt;=$F58),IF(R$5=$E58+1,$C58,""),"")</f>
        <v/>
      </c>
      <c r="S58" s="34">
        <f>IF(AND(S$5&gt;$E58,S$5&lt;=$F58),IF(S$5=$E58+1,$C58,""),"")</f>
        <v/>
      </c>
      <c r="T58" s="34">
        <f>IF(AND(T$5&gt;$E58,T$5&lt;=$F58),IF(T$5=$E58+1,$C58,""),"")</f>
        <v/>
      </c>
      <c r="U58" s="34">
        <f>IF(AND(U$5&gt;$E58,U$5&lt;=$F58),IF(U$5=$E58+1,$C58,""),"")</f>
        <v/>
      </c>
      <c r="V58" s="34">
        <f>IF(AND(V$5&gt;$E58,V$5&lt;=$F58),IF(V$5=$E58+1,$C58,""),"")</f>
        <v/>
      </c>
      <c r="W58" s="34">
        <f>IF(AND(W$5&gt;$E58,W$5&lt;=$F58),IF(W$5=$E58+1,$C58,""),"")</f>
        <v/>
      </c>
      <c r="X58" s="34">
        <f>IF(AND(X$5&gt;$E58,X$5&lt;=$F58),IF(X$5=$E58+1,$C58,""),"")</f>
        <v/>
      </c>
      <c r="Y58" s="34">
        <f>IF(AND(Y$5&gt;$E58,Y$5&lt;=$F58),IF(Y$5=$E58+1,$C58,""),"")</f>
        <v/>
      </c>
      <c r="Z58" s="34">
        <f>IF(AND(Z$5&gt;$E58,Z$5&lt;=$F58),IF(Z$5=$E58+1,$C58,""),"")</f>
        <v/>
      </c>
      <c r="AA58" s="34">
        <f>IF(AND(AA$5&gt;$E58,AA$5&lt;=$F58),IF(AA$5=$E58+1,$C58,""),"")</f>
        <v/>
      </c>
      <c r="AB58" s="34">
        <f>IF(AND(AB$5&gt;$E58,AB$5&lt;=$F58),IF(AB$5=$E58+1,$C58,""),"")</f>
        <v/>
      </c>
      <c r="AC58" s="34">
        <f>IF(AND(AC$5&gt;$E58,AC$5&lt;=$F58),IF(AC$5=$E58+1,$C58,""),"")</f>
        <v/>
      </c>
      <c r="AD58" s="34">
        <f>IF(AND(AD$5&gt;$E58,AD$5&lt;=$F58),IF(AD$5=$E58+1,$C58,""),"")</f>
        <v/>
      </c>
      <c r="AE58" s="34">
        <f>IF(AND(AE$5&gt;$E58,AE$5&lt;=$F58),IF(AE$5=$E58+1,$C58,""),"")</f>
        <v/>
      </c>
      <c r="AF58" s="34">
        <f>IF(AND(AF$5&gt;$E58,AF$5&lt;=$F58),IF(AF$5=$E58+1,$C58,""),"")</f>
        <v/>
      </c>
      <c r="AG58" s="34">
        <f>IF(AND(AG$5&gt;$E58,AG$5&lt;=$F58),IF(AG$5=$E58+1,$C58,""),"")</f>
        <v/>
      </c>
      <c r="AH58" s="34">
        <f>IF(AND(AH$5&gt;$E58,AH$5&lt;=$F58),IF(AH$5=$E58+1,$C58,""),"")</f>
        <v/>
      </c>
      <c r="AI58" s="34">
        <f>IF(AND(AI$5&gt;$E58,AI$5&lt;=$F58),IF(AI$5=$E58+1,$C58,""),"")</f>
        <v/>
      </c>
      <c r="AJ58" s="34">
        <f>IF(AND(AJ$5&gt;$E58,AJ$5&lt;=$F58),IF(AJ$5=$E58+1,$C58,""),"")</f>
        <v/>
      </c>
      <c r="AK58" s="34">
        <f>IF(AND(AK$5&gt;$E58,AK$5&lt;=$F58),IF(AK$5=$E58+1,$C58,""),"")</f>
        <v/>
      </c>
      <c r="AL58" s="34">
        <f>IF(AND(AL$5&gt;$E58,AL$5&lt;=$F58),IF(AL$5=$E58+1,$C58,""),"")</f>
        <v/>
      </c>
      <c r="AM58" s="34">
        <f>IF(AND(AM$5&gt;$E58,AM$5&lt;=$F58),IF(AM$5=$E58+1,$C58,""),"")</f>
        <v/>
      </c>
      <c r="AN58" s="34">
        <f>IF(AND(AN$5&gt;$E58,AN$5&lt;=$F58),IF(AN$5=$E58+1,$C58,""),"")</f>
        <v/>
      </c>
      <c r="AO58" s="34">
        <f>IF(AND(AO$5&gt;$E58,AO$5&lt;=$F58),IF(AO$5=$E58+1,$C58,""),"")</f>
        <v/>
      </c>
      <c r="AP58" s="34">
        <f>IF(AND(AP$5&gt;$E58,AP$5&lt;=$F58),IF(AP$5=$E58+1,$C58,""),"")</f>
        <v/>
      </c>
      <c r="AQ58" s="34">
        <f>IF(AND(AQ$5&gt;$E58,AQ$5&lt;=$F58),IF(AQ$5=$E58+1,$C58,""),"")</f>
        <v/>
      </c>
      <c r="AR58" s="34">
        <f>IF(AND(AR$5&gt;$E58,AR$5&lt;=$F58),IF(AR$5=$E58+1,$C58,""),"")</f>
        <v/>
      </c>
      <c r="AS58" s="34">
        <f>IF(AND(AS$5&gt;$E58,AS$5&lt;=$F58),IF(AS$5=$E58+1,$C58,""),"")</f>
        <v/>
      </c>
      <c r="AT58" s="34">
        <f>IF(AND(AT$5&gt;$E58,AT$5&lt;=$F58),IF(AT$5=$E58+1,$C58,""),"")</f>
        <v/>
      </c>
      <c r="AU58" s="34">
        <f>IF(AND(AU$5&gt;$E58,AU$5&lt;=$F58),IF(AU$5=$E58+1,$C58,""),"")</f>
        <v/>
      </c>
      <c r="AV58" s="34">
        <f>IF(AND(AV$5&gt;$E58,AV$5&lt;=$F58),IF(AV$5=$E58+1,$C58,""),"")</f>
        <v/>
      </c>
      <c r="AW58" s="34">
        <f>IF(AND(AW$5&gt;$E58,AW$5&lt;=$F58),IF(AW$5=$E58+1,$C58,""),"")</f>
        <v/>
      </c>
      <c r="AX58" s="34">
        <f>IF(AND(AX$5&gt;$E58,AX$5&lt;=$F58),IF(AX$5=$E58+1,$C58,""),"")</f>
        <v/>
      </c>
      <c r="AY58" s="34">
        <f>IF(AND(AY$5&gt;$E58,AY$5&lt;=$F58),IF(AY$5=$E58+1,$C58,""),"")</f>
        <v/>
      </c>
      <c r="AZ58" s="34">
        <f>IF(AND(AZ$5&gt;$E58,AZ$5&lt;=$F58),IF(AZ$5=$E58+1,$C58,""),"")</f>
        <v/>
      </c>
      <c r="BA58" s="34">
        <f>IF(AND(BA$5&gt;$E58,BA$5&lt;=$F58),IF(BA$5=$E58+1,$C58,""),"")</f>
        <v/>
      </c>
      <c r="BB58" s="34">
        <f>IF(AND(BB$5&gt;$E58,BB$5&lt;=$F58),IF(BB$5=$E58+1,$C58,""),"")</f>
        <v/>
      </c>
      <c r="BC58" s="34">
        <f>IF(AND(BC$5&gt;$E58,BC$5&lt;=$F58),IF(BC$5=$E58+1,$C58,""),"")</f>
        <v/>
      </c>
      <c r="BD58" s="34">
        <f>IF(AND(BD$5&gt;$E58,BD$5&lt;=$F58),IF(BD$5=$E58+1,$C58,""),"")</f>
        <v/>
      </c>
      <c r="BE58" s="34">
        <f>IF(AND(BE$5&gt;$E58,BE$5&lt;=$F58),IF(BE$5=$E58+1,$C58,""),"")</f>
        <v/>
      </c>
      <c r="BF58" s="34">
        <f>IF(AND(BF$5&gt;$E58,BF$5&lt;=$F58),IF(BF$5=$E58+1,$C58,""),"")</f>
        <v/>
      </c>
      <c r="BG58" s="34">
        <f>IF(AND(BG$5&gt;$E58,BG$5&lt;=$F58),IF(BG$5=$E58+1,$C58,""),"")</f>
        <v/>
      </c>
      <c r="BH58" s="34">
        <f>IF(AND(BH$5&gt;$E58,BH$5&lt;=$F58),IF(BH$5=$E58+1,$C58,""),"")</f>
        <v/>
      </c>
      <c r="BI58" s="34">
        <f>IF(AND(BI$5&gt;$E58,BI$5&lt;=$F58),IF(BI$5=$E58+1,$C58,""),"")</f>
        <v/>
      </c>
      <c r="BJ58" s="34">
        <f>IF(AND(BJ$5&gt;$E58,BJ$5&lt;=$F58),IF(BJ$5=$E58+1,$C58,""),"")</f>
        <v/>
      </c>
      <c r="BK58" s="34">
        <f>IF(AND(BK$5&gt;$E58,BK$5&lt;=$F58),IF(BK$5=$E58+1,$C58,""),"")</f>
        <v/>
      </c>
      <c r="BL58" s="34">
        <f>IF(AND(BL$5&gt;$E58,BL$5&lt;=$F58),IF(BL$5=$E58+1,$C58,""),"")</f>
        <v/>
      </c>
      <c r="BM58" s="34">
        <f>IF(AND(BM$5&gt;$E58,BM$5&lt;=$F58),IF(BM$5=$E58+1,$C58,""),"")</f>
        <v/>
      </c>
      <c r="BN58" s="34">
        <f>IF(AND(BN$5&gt;$E58,BN$5&lt;=$F58),IF(BN$5=$E58+1,$C58,""),"")</f>
        <v/>
      </c>
      <c r="BO58" s="34">
        <f>IF(AND(BO$5&gt;$E58,BO$5&lt;=$F58),IF(BO$5=$E58+1,$C58,""),"")</f>
        <v/>
      </c>
      <c r="BP58" s="34">
        <f>IF(AND(BP$5&gt;$E58,BP$5&lt;=$F58),IF(BP$5=$E58+1,$C58,""),"")</f>
        <v/>
      </c>
      <c r="BQ58" s="34">
        <f>IF(AND(BQ$5&gt;$E58,BQ$5&lt;=$F58),IF(BQ$5=$E58+1,$C58,""),"")</f>
        <v/>
      </c>
      <c r="BR58" s="34">
        <f>IF(AND(BR$5&gt;$E58,BR$5&lt;=$F58),IF(BR$5=$E58+1,$C58,""),"")</f>
        <v/>
      </c>
      <c r="BS58" s="34">
        <f>IF(AND(BS$5&gt;$E58,BS$5&lt;=$F58),IF(BS$5=$E58+1,$C58,""),"")</f>
        <v/>
      </c>
      <c r="BT58" s="34">
        <f>IF(AND(BT$5&gt;$E58,BT$5&lt;=$F58),IF(BT$5=$E58+1,$C58,""),"")</f>
        <v/>
      </c>
      <c r="BU58" s="34">
        <f>IF(AND(BU$5&gt;$E58,BU$5&lt;=$F58),IF(BU$5=$E58+1,$C58,""),"")</f>
        <v/>
      </c>
      <c r="BV58" s="34">
        <f>IF(AND(BV$5&gt;$E58,BV$5&lt;=$F58),IF(BV$5=$E58+1,$C58,""),"")</f>
        <v/>
      </c>
      <c r="BW58" s="34">
        <f>IF(AND(BW$5&gt;$E58,BW$5&lt;=$F58),IF(BW$5=$E58+1,$C58,""),"")</f>
        <v/>
      </c>
      <c r="BX58" s="34">
        <f>IF(AND(BX$5&gt;$E58,BX$5&lt;=$F58),IF(BX$5=$E58+1,$C58,""),"")</f>
        <v/>
      </c>
      <c r="BY58" s="34">
        <f>IF(AND(BY$5&gt;$E58,BY$5&lt;=$F58),IF(BY$5=$E58+1,$C58,""),"")</f>
        <v/>
      </c>
      <c r="BZ58" s="34">
        <f>IF(AND(BZ$5&gt;$E58,BZ$5&lt;=$F58),IF(BZ$5=$E58+1,$C58,""),"")</f>
        <v/>
      </c>
      <c r="CA58" s="34">
        <f>IF(AND(CA$5&gt;$E58,CA$5&lt;=$F58),IF(CA$5=$E58+1,$C58,""),"")</f>
        <v/>
      </c>
      <c r="CB58" s="34">
        <f>IF(AND(CB$5&gt;$E58,CB$5&lt;=$F58),IF(CB$5=$E58+1,$C58,""),"")</f>
        <v/>
      </c>
      <c r="CC58" s="34">
        <f>IF(AND(CC$5&gt;$E58,CC$5&lt;=$F58),IF(CC$5=$E58+1,$C58,""),"")</f>
        <v/>
      </c>
      <c r="CD58" s="34">
        <f>IF(AND(CD$5&gt;$E58,CD$5&lt;=$F58),IF(CD$5=$E58+1,$C58,""),"")</f>
        <v/>
      </c>
      <c r="CE58" s="34">
        <f>IF(AND(CE$5&gt;$E58,CE$5&lt;=$F58),IF(CE$5=$E58+1,$C58,""),"")</f>
        <v/>
      </c>
      <c r="CF58" s="34">
        <f>IF(AND(CF$5&gt;$E58,CF$5&lt;=$F58),IF(CF$5=$E58+1,$C58,""),"")</f>
        <v/>
      </c>
      <c r="CG58" s="34">
        <f>IF(AND(CG$5&gt;$E58,CG$5&lt;=$F58),IF(CG$5=$E58+1,$C58,""),"")</f>
        <v/>
      </c>
      <c r="CH58" s="34">
        <f>IF(AND(CH$5&gt;$E58,CH$5&lt;=$F58),IF(CH$5=$E58+1,$C58,""),"")</f>
        <v/>
      </c>
      <c r="CI58" s="34">
        <f>IF(AND(CI$5&gt;$E58,CI$5&lt;=$F58),IF(CI$5=$E58+1,$C58,""),"")</f>
        <v/>
      </c>
      <c r="CJ58" s="34">
        <f>IF(AND(CJ$5&gt;$E58,CJ$5&lt;=$F58),IF(CJ$5=$E58+1,$C58,""),"")</f>
        <v/>
      </c>
      <c r="CK58" s="34">
        <f>IF(AND(CK$5&gt;$E58,CK$5&lt;=$F58),IF(CK$5=$E58+1,$C58,""),"")</f>
        <v/>
      </c>
      <c r="CL58" s="34">
        <f>IF(AND(CL$5&gt;$E58,CL$5&lt;=$F58),IF(CL$5=$E58+1,$C58,""),"")</f>
        <v/>
      </c>
      <c r="CM58" s="34">
        <f>IF(AND(CM$5&gt;$E58,CM$5&lt;=$F58),IF(CM$5=$E58+1,$C58,""),"")</f>
        <v/>
      </c>
      <c r="CN58" s="34">
        <f>IF(AND(CN$5&gt;$E58,CN$5&lt;=$F58),IF(CN$5=$E58+1,$C58,""),"")</f>
        <v/>
      </c>
      <c r="CO58" s="34">
        <f>IF(AND(CO$5&gt;$E58,CO$5&lt;=$F58),IF(CO$5=$E58+1,$C58,""),"")</f>
        <v/>
      </c>
      <c r="CP58" s="34">
        <f>IF(AND(CP$5&gt;$E58,CP$5&lt;=$F58),IF(CP$5=$E58+1,$C58,""),"")</f>
        <v/>
      </c>
      <c r="CQ58" s="34">
        <f>IF(AND(CQ$5&gt;$E58,CQ$5&lt;=$F58),IF(CQ$5=$E58+1,$C58,""),"")</f>
        <v/>
      </c>
      <c r="CR58" s="34">
        <f>IF(AND(CR$5&gt;$E58,CR$5&lt;=$F58),IF(CR$5=$E58+1,$C58,""),"")</f>
        <v/>
      </c>
      <c r="CS58" s="34">
        <f>IF(AND(CS$5&gt;$E58,CS$5&lt;=$F58),IF(CS$5=$E58+1,$C58,""),"")</f>
        <v/>
      </c>
    </row>
    <row r="59">
      <c r="A59" s="32">
        <f>Plan!A50</f>
        <v/>
      </c>
      <c r="B59" s="33">
        <f>Plan!C50</f>
        <v/>
      </c>
      <c r="C59" s="16">
        <f>Plan!D50</f>
        <v/>
      </c>
      <c r="D59" s="16">
        <f>Plan!I50</f>
        <v/>
      </c>
      <c r="E59" s="16">
        <f>Plan!K50</f>
        <v/>
      </c>
      <c r="F59" s="16">
        <f>Plan!L50</f>
        <v/>
      </c>
      <c r="G59" s="16">
        <f>Plan!O50</f>
        <v/>
      </c>
      <c r="H59" s="34">
        <f>IF(AND(H$5&gt;$E59,H$5&lt;=$F59),IF(H$5=$E59+1,$C59,""),"")</f>
        <v/>
      </c>
      <c r="I59" s="34">
        <f>IF(AND(I$5&gt;$E59,I$5&lt;=$F59),IF(I$5=$E59+1,$C59,""),"")</f>
        <v/>
      </c>
      <c r="J59" s="34">
        <f>IF(AND(J$5&gt;$E59,J$5&lt;=$F59),IF(J$5=$E59+1,$C59,""),"")</f>
        <v/>
      </c>
      <c r="K59" s="34">
        <f>IF(AND(K$5&gt;$E59,K$5&lt;=$F59),IF(K$5=$E59+1,$C59,""),"")</f>
        <v/>
      </c>
      <c r="L59" s="34">
        <f>IF(AND(L$5&gt;$E59,L$5&lt;=$F59),IF(L$5=$E59+1,$C59,""),"")</f>
        <v/>
      </c>
      <c r="M59" s="34">
        <f>IF(AND(M$5&gt;$E59,M$5&lt;=$F59),IF(M$5=$E59+1,$C59,""),"")</f>
        <v/>
      </c>
      <c r="N59" s="34">
        <f>IF(AND(N$5&gt;$E59,N$5&lt;=$F59),IF(N$5=$E59+1,$C59,""),"")</f>
        <v/>
      </c>
      <c r="O59" s="34">
        <f>IF(AND(O$5&gt;$E59,O$5&lt;=$F59),IF(O$5=$E59+1,$C59,""),"")</f>
        <v/>
      </c>
      <c r="P59" s="34">
        <f>IF(AND(P$5&gt;$E59,P$5&lt;=$F59),IF(P$5=$E59+1,$C59,""),"")</f>
        <v/>
      </c>
      <c r="Q59" s="34">
        <f>IF(AND(Q$5&gt;$E59,Q$5&lt;=$F59),IF(Q$5=$E59+1,$C59,""),"")</f>
        <v/>
      </c>
      <c r="R59" s="34">
        <f>IF(AND(R$5&gt;$E59,R$5&lt;=$F59),IF(R$5=$E59+1,$C59,""),"")</f>
        <v/>
      </c>
      <c r="S59" s="34">
        <f>IF(AND(S$5&gt;$E59,S$5&lt;=$F59),IF(S$5=$E59+1,$C59,""),"")</f>
        <v/>
      </c>
      <c r="T59" s="34">
        <f>IF(AND(T$5&gt;$E59,T$5&lt;=$F59),IF(T$5=$E59+1,$C59,""),"")</f>
        <v/>
      </c>
      <c r="U59" s="34">
        <f>IF(AND(U$5&gt;$E59,U$5&lt;=$F59),IF(U$5=$E59+1,$C59,""),"")</f>
        <v/>
      </c>
      <c r="V59" s="34">
        <f>IF(AND(V$5&gt;$E59,V$5&lt;=$F59),IF(V$5=$E59+1,$C59,""),"")</f>
        <v/>
      </c>
      <c r="W59" s="34">
        <f>IF(AND(W$5&gt;$E59,W$5&lt;=$F59),IF(W$5=$E59+1,$C59,""),"")</f>
        <v/>
      </c>
      <c r="X59" s="34">
        <f>IF(AND(X$5&gt;$E59,X$5&lt;=$F59),IF(X$5=$E59+1,$C59,""),"")</f>
        <v/>
      </c>
      <c r="Y59" s="34">
        <f>IF(AND(Y$5&gt;$E59,Y$5&lt;=$F59),IF(Y$5=$E59+1,$C59,""),"")</f>
        <v/>
      </c>
      <c r="Z59" s="34">
        <f>IF(AND(Z$5&gt;$E59,Z$5&lt;=$F59),IF(Z$5=$E59+1,$C59,""),"")</f>
        <v/>
      </c>
      <c r="AA59" s="34">
        <f>IF(AND(AA$5&gt;$E59,AA$5&lt;=$F59),IF(AA$5=$E59+1,$C59,""),"")</f>
        <v/>
      </c>
      <c r="AB59" s="34">
        <f>IF(AND(AB$5&gt;$E59,AB$5&lt;=$F59),IF(AB$5=$E59+1,$C59,""),"")</f>
        <v/>
      </c>
      <c r="AC59" s="34">
        <f>IF(AND(AC$5&gt;$E59,AC$5&lt;=$F59),IF(AC$5=$E59+1,$C59,""),"")</f>
        <v/>
      </c>
      <c r="AD59" s="34">
        <f>IF(AND(AD$5&gt;$E59,AD$5&lt;=$F59),IF(AD$5=$E59+1,$C59,""),"")</f>
        <v/>
      </c>
      <c r="AE59" s="34">
        <f>IF(AND(AE$5&gt;$E59,AE$5&lt;=$F59),IF(AE$5=$E59+1,$C59,""),"")</f>
        <v/>
      </c>
      <c r="AF59" s="34">
        <f>IF(AND(AF$5&gt;$E59,AF$5&lt;=$F59),IF(AF$5=$E59+1,$C59,""),"")</f>
        <v/>
      </c>
      <c r="AG59" s="34">
        <f>IF(AND(AG$5&gt;$E59,AG$5&lt;=$F59),IF(AG$5=$E59+1,$C59,""),"")</f>
        <v/>
      </c>
      <c r="AH59" s="34">
        <f>IF(AND(AH$5&gt;$E59,AH$5&lt;=$F59),IF(AH$5=$E59+1,$C59,""),"")</f>
        <v/>
      </c>
      <c r="AI59" s="34">
        <f>IF(AND(AI$5&gt;$E59,AI$5&lt;=$F59),IF(AI$5=$E59+1,$C59,""),"")</f>
        <v/>
      </c>
      <c r="AJ59" s="34">
        <f>IF(AND(AJ$5&gt;$E59,AJ$5&lt;=$F59),IF(AJ$5=$E59+1,$C59,""),"")</f>
        <v/>
      </c>
      <c r="AK59" s="34">
        <f>IF(AND(AK$5&gt;$E59,AK$5&lt;=$F59),IF(AK$5=$E59+1,$C59,""),"")</f>
        <v/>
      </c>
      <c r="AL59" s="34">
        <f>IF(AND(AL$5&gt;$E59,AL$5&lt;=$F59),IF(AL$5=$E59+1,$C59,""),"")</f>
        <v/>
      </c>
      <c r="AM59" s="34">
        <f>IF(AND(AM$5&gt;$E59,AM$5&lt;=$F59),IF(AM$5=$E59+1,$C59,""),"")</f>
        <v/>
      </c>
      <c r="AN59" s="34">
        <f>IF(AND(AN$5&gt;$E59,AN$5&lt;=$F59),IF(AN$5=$E59+1,$C59,""),"")</f>
        <v/>
      </c>
      <c r="AO59" s="34">
        <f>IF(AND(AO$5&gt;$E59,AO$5&lt;=$F59),IF(AO$5=$E59+1,$C59,""),"")</f>
        <v/>
      </c>
      <c r="AP59" s="34">
        <f>IF(AND(AP$5&gt;$E59,AP$5&lt;=$F59),IF(AP$5=$E59+1,$C59,""),"")</f>
        <v/>
      </c>
      <c r="AQ59" s="34">
        <f>IF(AND(AQ$5&gt;$E59,AQ$5&lt;=$F59),IF(AQ$5=$E59+1,$C59,""),"")</f>
        <v/>
      </c>
      <c r="AR59" s="34">
        <f>IF(AND(AR$5&gt;$E59,AR$5&lt;=$F59),IF(AR$5=$E59+1,$C59,""),"")</f>
        <v/>
      </c>
      <c r="AS59" s="34">
        <f>IF(AND(AS$5&gt;$E59,AS$5&lt;=$F59),IF(AS$5=$E59+1,$C59,""),"")</f>
        <v/>
      </c>
      <c r="AT59" s="34">
        <f>IF(AND(AT$5&gt;$E59,AT$5&lt;=$F59),IF(AT$5=$E59+1,$C59,""),"")</f>
        <v/>
      </c>
      <c r="AU59" s="34">
        <f>IF(AND(AU$5&gt;$E59,AU$5&lt;=$F59),IF(AU$5=$E59+1,$C59,""),"")</f>
        <v/>
      </c>
      <c r="AV59" s="34">
        <f>IF(AND(AV$5&gt;$E59,AV$5&lt;=$F59),IF(AV$5=$E59+1,$C59,""),"")</f>
        <v/>
      </c>
      <c r="AW59" s="34">
        <f>IF(AND(AW$5&gt;$E59,AW$5&lt;=$F59),IF(AW$5=$E59+1,$C59,""),"")</f>
        <v/>
      </c>
      <c r="AX59" s="34">
        <f>IF(AND(AX$5&gt;$E59,AX$5&lt;=$F59),IF(AX$5=$E59+1,$C59,""),"")</f>
        <v/>
      </c>
      <c r="AY59" s="34">
        <f>IF(AND(AY$5&gt;$E59,AY$5&lt;=$F59),IF(AY$5=$E59+1,$C59,""),"")</f>
        <v/>
      </c>
      <c r="AZ59" s="34">
        <f>IF(AND(AZ$5&gt;$E59,AZ$5&lt;=$F59),IF(AZ$5=$E59+1,$C59,""),"")</f>
        <v/>
      </c>
      <c r="BA59" s="34">
        <f>IF(AND(BA$5&gt;$E59,BA$5&lt;=$F59),IF(BA$5=$E59+1,$C59,""),"")</f>
        <v/>
      </c>
      <c r="BB59" s="34">
        <f>IF(AND(BB$5&gt;$E59,BB$5&lt;=$F59),IF(BB$5=$E59+1,$C59,""),"")</f>
        <v/>
      </c>
      <c r="BC59" s="34">
        <f>IF(AND(BC$5&gt;$E59,BC$5&lt;=$F59),IF(BC$5=$E59+1,$C59,""),"")</f>
        <v/>
      </c>
      <c r="BD59" s="34">
        <f>IF(AND(BD$5&gt;$E59,BD$5&lt;=$F59),IF(BD$5=$E59+1,$C59,""),"")</f>
        <v/>
      </c>
      <c r="BE59" s="34">
        <f>IF(AND(BE$5&gt;$E59,BE$5&lt;=$F59),IF(BE$5=$E59+1,$C59,""),"")</f>
        <v/>
      </c>
      <c r="BF59" s="34">
        <f>IF(AND(BF$5&gt;$E59,BF$5&lt;=$F59),IF(BF$5=$E59+1,$C59,""),"")</f>
        <v/>
      </c>
      <c r="BG59" s="34">
        <f>IF(AND(BG$5&gt;$E59,BG$5&lt;=$F59),IF(BG$5=$E59+1,$C59,""),"")</f>
        <v/>
      </c>
      <c r="BH59" s="34">
        <f>IF(AND(BH$5&gt;$E59,BH$5&lt;=$F59),IF(BH$5=$E59+1,$C59,""),"")</f>
        <v/>
      </c>
      <c r="BI59" s="34">
        <f>IF(AND(BI$5&gt;$E59,BI$5&lt;=$F59),IF(BI$5=$E59+1,$C59,""),"")</f>
        <v/>
      </c>
      <c r="BJ59" s="34">
        <f>IF(AND(BJ$5&gt;$E59,BJ$5&lt;=$F59),IF(BJ$5=$E59+1,$C59,""),"")</f>
        <v/>
      </c>
      <c r="BK59" s="34">
        <f>IF(AND(BK$5&gt;$E59,BK$5&lt;=$F59),IF(BK$5=$E59+1,$C59,""),"")</f>
        <v/>
      </c>
      <c r="BL59" s="34">
        <f>IF(AND(BL$5&gt;$E59,BL$5&lt;=$F59),IF(BL$5=$E59+1,$C59,""),"")</f>
        <v/>
      </c>
      <c r="BM59" s="34">
        <f>IF(AND(BM$5&gt;$E59,BM$5&lt;=$F59),IF(BM$5=$E59+1,$C59,""),"")</f>
        <v/>
      </c>
      <c r="BN59" s="34">
        <f>IF(AND(BN$5&gt;$E59,BN$5&lt;=$F59),IF(BN$5=$E59+1,$C59,""),"")</f>
        <v/>
      </c>
      <c r="BO59" s="34">
        <f>IF(AND(BO$5&gt;$E59,BO$5&lt;=$F59),IF(BO$5=$E59+1,$C59,""),"")</f>
        <v/>
      </c>
      <c r="BP59" s="34">
        <f>IF(AND(BP$5&gt;$E59,BP$5&lt;=$F59),IF(BP$5=$E59+1,$C59,""),"")</f>
        <v/>
      </c>
      <c r="BQ59" s="34">
        <f>IF(AND(BQ$5&gt;$E59,BQ$5&lt;=$F59),IF(BQ$5=$E59+1,$C59,""),"")</f>
        <v/>
      </c>
      <c r="BR59" s="34">
        <f>IF(AND(BR$5&gt;$E59,BR$5&lt;=$F59),IF(BR$5=$E59+1,$C59,""),"")</f>
        <v/>
      </c>
      <c r="BS59" s="34">
        <f>IF(AND(BS$5&gt;$E59,BS$5&lt;=$F59),IF(BS$5=$E59+1,$C59,""),"")</f>
        <v/>
      </c>
      <c r="BT59" s="34">
        <f>IF(AND(BT$5&gt;$E59,BT$5&lt;=$F59),IF(BT$5=$E59+1,$C59,""),"")</f>
        <v/>
      </c>
      <c r="BU59" s="34">
        <f>IF(AND(BU$5&gt;$E59,BU$5&lt;=$F59),IF(BU$5=$E59+1,$C59,""),"")</f>
        <v/>
      </c>
      <c r="BV59" s="34">
        <f>IF(AND(BV$5&gt;$E59,BV$5&lt;=$F59),IF(BV$5=$E59+1,$C59,""),"")</f>
        <v/>
      </c>
      <c r="BW59" s="34">
        <f>IF(AND(BW$5&gt;$E59,BW$5&lt;=$F59),IF(BW$5=$E59+1,$C59,""),"")</f>
        <v/>
      </c>
      <c r="BX59" s="34">
        <f>IF(AND(BX$5&gt;$E59,BX$5&lt;=$F59),IF(BX$5=$E59+1,$C59,""),"")</f>
        <v/>
      </c>
      <c r="BY59" s="34">
        <f>IF(AND(BY$5&gt;$E59,BY$5&lt;=$F59),IF(BY$5=$E59+1,$C59,""),"")</f>
        <v/>
      </c>
      <c r="BZ59" s="34">
        <f>IF(AND(BZ$5&gt;$E59,BZ$5&lt;=$F59),IF(BZ$5=$E59+1,$C59,""),"")</f>
        <v/>
      </c>
      <c r="CA59" s="34">
        <f>IF(AND(CA$5&gt;$E59,CA$5&lt;=$F59),IF(CA$5=$E59+1,$C59,""),"")</f>
        <v/>
      </c>
      <c r="CB59" s="34">
        <f>IF(AND(CB$5&gt;$E59,CB$5&lt;=$F59),IF(CB$5=$E59+1,$C59,""),"")</f>
        <v/>
      </c>
      <c r="CC59" s="34">
        <f>IF(AND(CC$5&gt;$E59,CC$5&lt;=$F59),IF(CC$5=$E59+1,$C59,""),"")</f>
        <v/>
      </c>
      <c r="CD59" s="34">
        <f>IF(AND(CD$5&gt;$E59,CD$5&lt;=$F59),IF(CD$5=$E59+1,$C59,""),"")</f>
        <v/>
      </c>
      <c r="CE59" s="34">
        <f>IF(AND(CE$5&gt;$E59,CE$5&lt;=$F59),IF(CE$5=$E59+1,$C59,""),"")</f>
        <v/>
      </c>
      <c r="CF59" s="34">
        <f>IF(AND(CF$5&gt;$E59,CF$5&lt;=$F59),IF(CF$5=$E59+1,$C59,""),"")</f>
        <v/>
      </c>
      <c r="CG59" s="34">
        <f>IF(AND(CG$5&gt;$E59,CG$5&lt;=$F59),IF(CG$5=$E59+1,$C59,""),"")</f>
        <v/>
      </c>
      <c r="CH59" s="34">
        <f>IF(AND(CH$5&gt;$E59,CH$5&lt;=$F59),IF(CH$5=$E59+1,$C59,""),"")</f>
        <v/>
      </c>
      <c r="CI59" s="34">
        <f>IF(AND(CI$5&gt;$E59,CI$5&lt;=$F59),IF(CI$5=$E59+1,$C59,""),"")</f>
        <v/>
      </c>
      <c r="CJ59" s="34">
        <f>IF(AND(CJ$5&gt;$E59,CJ$5&lt;=$F59),IF(CJ$5=$E59+1,$C59,""),"")</f>
        <v/>
      </c>
      <c r="CK59" s="34">
        <f>IF(AND(CK$5&gt;$E59,CK$5&lt;=$F59),IF(CK$5=$E59+1,$C59,""),"")</f>
        <v/>
      </c>
      <c r="CL59" s="34">
        <f>IF(AND(CL$5&gt;$E59,CL$5&lt;=$F59),IF(CL$5=$E59+1,$C59,""),"")</f>
        <v/>
      </c>
      <c r="CM59" s="34">
        <f>IF(AND(CM$5&gt;$E59,CM$5&lt;=$F59),IF(CM$5=$E59+1,$C59,""),"")</f>
        <v/>
      </c>
      <c r="CN59" s="34">
        <f>IF(AND(CN$5&gt;$E59,CN$5&lt;=$F59),IF(CN$5=$E59+1,$C59,""),"")</f>
        <v/>
      </c>
      <c r="CO59" s="34">
        <f>IF(AND(CO$5&gt;$E59,CO$5&lt;=$F59),IF(CO$5=$E59+1,$C59,""),"")</f>
        <v/>
      </c>
      <c r="CP59" s="34">
        <f>IF(AND(CP$5&gt;$E59,CP$5&lt;=$F59),IF(CP$5=$E59+1,$C59,""),"")</f>
        <v/>
      </c>
      <c r="CQ59" s="34">
        <f>IF(AND(CQ$5&gt;$E59,CQ$5&lt;=$F59),IF(CQ$5=$E59+1,$C59,""),"")</f>
        <v/>
      </c>
      <c r="CR59" s="34">
        <f>IF(AND(CR$5&gt;$E59,CR$5&lt;=$F59),IF(CR$5=$E59+1,$C59,""),"")</f>
        <v/>
      </c>
      <c r="CS59" s="34">
        <f>IF(AND(CS$5&gt;$E59,CS$5&lt;=$F59),IF(CS$5=$E59+1,$C59,""),"")</f>
        <v/>
      </c>
    </row>
    <row r="60">
      <c r="A60" s="32">
        <f>Plan!A51</f>
        <v/>
      </c>
      <c r="B60" s="33">
        <f>Plan!C51</f>
        <v/>
      </c>
      <c r="C60" s="16">
        <f>Plan!D51</f>
        <v/>
      </c>
      <c r="D60" s="16">
        <f>Plan!I51</f>
        <v/>
      </c>
      <c r="E60" s="16">
        <f>Plan!K51</f>
        <v/>
      </c>
      <c r="F60" s="16">
        <f>Plan!L51</f>
        <v/>
      </c>
      <c r="G60" s="16">
        <f>Plan!O51</f>
        <v/>
      </c>
      <c r="H60" s="34">
        <f>IF(AND(H$5&gt;$E60,H$5&lt;=$F60),IF(H$5=$E60+1,$C60,""),"")</f>
        <v/>
      </c>
      <c r="I60" s="34">
        <f>IF(AND(I$5&gt;$E60,I$5&lt;=$F60),IF(I$5=$E60+1,$C60,""),"")</f>
        <v/>
      </c>
      <c r="J60" s="34">
        <f>IF(AND(J$5&gt;$E60,J$5&lt;=$F60),IF(J$5=$E60+1,$C60,""),"")</f>
        <v/>
      </c>
      <c r="K60" s="34">
        <f>IF(AND(K$5&gt;$E60,K$5&lt;=$F60),IF(K$5=$E60+1,$C60,""),"")</f>
        <v/>
      </c>
      <c r="L60" s="34">
        <f>IF(AND(L$5&gt;$E60,L$5&lt;=$F60),IF(L$5=$E60+1,$C60,""),"")</f>
        <v/>
      </c>
      <c r="M60" s="34">
        <f>IF(AND(M$5&gt;$E60,M$5&lt;=$F60),IF(M$5=$E60+1,$C60,""),"")</f>
        <v/>
      </c>
      <c r="N60" s="34">
        <f>IF(AND(N$5&gt;$E60,N$5&lt;=$F60),IF(N$5=$E60+1,$C60,""),"")</f>
        <v/>
      </c>
      <c r="O60" s="34">
        <f>IF(AND(O$5&gt;$E60,O$5&lt;=$F60),IF(O$5=$E60+1,$C60,""),"")</f>
        <v/>
      </c>
      <c r="P60" s="34">
        <f>IF(AND(P$5&gt;$E60,P$5&lt;=$F60),IF(P$5=$E60+1,$C60,""),"")</f>
        <v/>
      </c>
      <c r="Q60" s="34">
        <f>IF(AND(Q$5&gt;$E60,Q$5&lt;=$F60),IF(Q$5=$E60+1,$C60,""),"")</f>
        <v/>
      </c>
      <c r="R60" s="34">
        <f>IF(AND(R$5&gt;$E60,R$5&lt;=$F60),IF(R$5=$E60+1,$C60,""),"")</f>
        <v/>
      </c>
      <c r="S60" s="34">
        <f>IF(AND(S$5&gt;$E60,S$5&lt;=$F60),IF(S$5=$E60+1,$C60,""),"")</f>
        <v/>
      </c>
      <c r="T60" s="34">
        <f>IF(AND(T$5&gt;$E60,T$5&lt;=$F60),IF(T$5=$E60+1,$C60,""),"")</f>
        <v/>
      </c>
      <c r="U60" s="34">
        <f>IF(AND(U$5&gt;$E60,U$5&lt;=$F60),IF(U$5=$E60+1,$C60,""),"")</f>
        <v/>
      </c>
      <c r="V60" s="34">
        <f>IF(AND(V$5&gt;$E60,V$5&lt;=$F60),IF(V$5=$E60+1,$C60,""),"")</f>
        <v/>
      </c>
      <c r="W60" s="34">
        <f>IF(AND(W$5&gt;$E60,W$5&lt;=$F60),IF(W$5=$E60+1,$C60,""),"")</f>
        <v/>
      </c>
      <c r="X60" s="34">
        <f>IF(AND(X$5&gt;$E60,X$5&lt;=$F60),IF(X$5=$E60+1,$C60,""),"")</f>
        <v/>
      </c>
      <c r="Y60" s="34">
        <f>IF(AND(Y$5&gt;$E60,Y$5&lt;=$F60),IF(Y$5=$E60+1,$C60,""),"")</f>
        <v/>
      </c>
      <c r="Z60" s="34">
        <f>IF(AND(Z$5&gt;$E60,Z$5&lt;=$F60),IF(Z$5=$E60+1,$C60,""),"")</f>
        <v/>
      </c>
      <c r="AA60" s="34">
        <f>IF(AND(AA$5&gt;$E60,AA$5&lt;=$F60),IF(AA$5=$E60+1,$C60,""),"")</f>
        <v/>
      </c>
      <c r="AB60" s="34">
        <f>IF(AND(AB$5&gt;$E60,AB$5&lt;=$F60),IF(AB$5=$E60+1,$C60,""),"")</f>
        <v/>
      </c>
      <c r="AC60" s="34">
        <f>IF(AND(AC$5&gt;$E60,AC$5&lt;=$F60),IF(AC$5=$E60+1,$C60,""),"")</f>
        <v/>
      </c>
      <c r="AD60" s="34">
        <f>IF(AND(AD$5&gt;$E60,AD$5&lt;=$F60),IF(AD$5=$E60+1,$C60,""),"")</f>
        <v/>
      </c>
      <c r="AE60" s="34">
        <f>IF(AND(AE$5&gt;$E60,AE$5&lt;=$F60),IF(AE$5=$E60+1,$C60,""),"")</f>
        <v/>
      </c>
      <c r="AF60" s="34">
        <f>IF(AND(AF$5&gt;$E60,AF$5&lt;=$F60),IF(AF$5=$E60+1,$C60,""),"")</f>
        <v/>
      </c>
      <c r="AG60" s="34">
        <f>IF(AND(AG$5&gt;$E60,AG$5&lt;=$F60),IF(AG$5=$E60+1,$C60,""),"")</f>
        <v/>
      </c>
      <c r="AH60" s="34">
        <f>IF(AND(AH$5&gt;$E60,AH$5&lt;=$F60),IF(AH$5=$E60+1,$C60,""),"")</f>
        <v/>
      </c>
      <c r="AI60" s="34">
        <f>IF(AND(AI$5&gt;$E60,AI$5&lt;=$F60),IF(AI$5=$E60+1,$C60,""),"")</f>
        <v/>
      </c>
      <c r="AJ60" s="34">
        <f>IF(AND(AJ$5&gt;$E60,AJ$5&lt;=$F60),IF(AJ$5=$E60+1,$C60,""),"")</f>
        <v/>
      </c>
      <c r="AK60" s="34">
        <f>IF(AND(AK$5&gt;$E60,AK$5&lt;=$F60),IF(AK$5=$E60+1,$C60,""),"")</f>
        <v/>
      </c>
      <c r="AL60" s="34">
        <f>IF(AND(AL$5&gt;$E60,AL$5&lt;=$F60),IF(AL$5=$E60+1,$C60,""),"")</f>
        <v/>
      </c>
      <c r="AM60" s="34">
        <f>IF(AND(AM$5&gt;$E60,AM$5&lt;=$F60),IF(AM$5=$E60+1,$C60,""),"")</f>
        <v/>
      </c>
      <c r="AN60" s="34">
        <f>IF(AND(AN$5&gt;$E60,AN$5&lt;=$F60),IF(AN$5=$E60+1,$C60,""),"")</f>
        <v/>
      </c>
      <c r="AO60" s="34">
        <f>IF(AND(AO$5&gt;$E60,AO$5&lt;=$F60),IF(AO$5=$E60+1,$C60,""),"")</f>
        <v/>
      </c>
      <c r="AP60" s="34">
        <f>IF(AND(AP$5&gt;$E60,AP$5&lt;=$F60),IF(AP$5=$E60+1,$C60,""),"")</f>
        <v/>
      </c>
      <c r="AQ60" s="34">
        <f>IF(AND(AQ$5&gt;$E60,AQ$5&lt;=$F60),IF(AQ$5=$E60+1,$C60,""),"")</f>
        <v/>
      </c>
      <c r="AR60" s="34">
        <f>IF(AND(AR$5&gt;$E60,AR$5&lt;=$F60),IF(AR$5=$E60+1,$C60,""),"")</f>
        <v/>
      </c>
      <c r="AS60" s="34">
        <f>IF(AND(AS$5&gt;$E60,AS$5&lt;=$F60),IF(AS$5=$E60+1,$C60,""),"")</f>
        <v/>
      </c>
      <c r="AT60" s="34">
        <f>IF(AND(AT$5&gt;$E60,AT$5&lt;=$F60),IF(AT$5=$E60+1,$C60,""),"")</f>
        <v/>
      </c>
      <c r="AU60" s="34">
        <f>IF(AND(AU$5&gt;$E60,AU$5&lt;=$F60),IF(AU$5=$E60+1,$C60,""),"")</f>
        <v/>
      </c>
      <c r="AV60" s="34">
        <f>IF(AND(AV$5&gt;$E60,AV$5&lt;=$F60),IF(AV$5=$E60+1,$C60,""),"")</f>
        <v/>
      </c>
      <c r="AW60" s="34">
        <f>IF(AND(AW$5&gt;$E60,AW$5&lt;=$F60),IF(AW$5=$E60+1,$C60,""),"")</f>
        <v/>
      </c>
      <c r="AX60" s="34">
        <f>IF(AND(AX$5&gt;$E60,AX$5&lt;=$F60),IF(AX$5=$E60+1,$C60,""),"")</f>
        <v/>
      </c>
      <c r="AY60" s="34">
        <f>IF(AND(AY$5&gt;$E60,AY$5&lt;=$F60),IF(AY$5=$E60+1,$C60,""),"")</f>
        <v/>
      </c>
      <c r="AZ60" s="34">
        <f>IF(AND(AZ$5&gt;$E60,AZ$5&lt;=$F60),IF(AZ$5=$E60+1,$C60,""),"")</f>
        <v/>
      </c>
      <c r="BA60" s="34">
        <f>IF(AND(BA$5&gt;$E60,BA$5&lt;=$F60),IF(BA$5=$E60+1,$C60,""),"")</f>
        <v/>
      </c>
      <c r="BB60" s="34">
        <f>IF(AND(BB$5&gt;$E60,BB$5&lt;=$F60),IF(BB$5=$E60+1,$C60,""),"")</f>
        <v/>
      </c>
      <c r="BC60" s="34">
        <f>IF(AND(BC$5&gt;$E60,BC$5&lt;=$F60),IF(BC$5=$E60+1,$C60,""),"")</f>
        <v/>
      </c>
      <c r="BD60" s="34">
        <f>IF(AND(BD$5&gt;$E60,BD$5&lt;=$F60),IF(BD$5=$E60+1,$C60,""),"")</f>
        <v/>
      </c>
      <c r="BE60" s="34">
        <f>IF(AND(BE$5&gt;$E60,BE$5&lt;=$F60),IF(BE$5=$E60+1,$C60,""),"")</f>
        <v/>
      </c>
      <c r="BF60" s="34">
        <f>IF(AND(BF$5&gt;$E60,BF$5&lt;=$F60),IF(BF$5=$E60+1,$C60,""),"")</f>
        <v/>
      </c>
      <c r="BG60" s="34">
        <f>IF(AND(BG$5&gt;$E60,BG$5&lt;=$F60),IF(BG$5=$E60+1,$C60,""),"")</f>
        <v/>
      </c>
      <c r="BH60" s="34">
        <f>IF(AND(BH$5&gt;$E60,BH$5&lt;=$F60),IF(BH$5=$E60+1,$C60,""),"")</f>
        <v/>
      </c>
      <c r="BI60" s="34">
        <f>IF(AND(BI$5&gt;$E60,BI$5&lt;=$F60),IF(BI$5=$E60+1,$C60,""),"")</f>
        <v/>
      </c>
      <c r="BJ60" s="34">
        <f>IF(AND(BJ$5&gt;$E60,BJ$5&lt;=$F60),IF(BJ$5=$E60+1,$C60,""),"")</f>
        <v/>
      </c>
      <c r="BK60" s="34">
        <f>IF(AND(BK$5&gt;$E60,BK$5&lt;=$F60),IF(BK$5=$E60+1,$C60,""),"")</f>
        <v/>
      </c>
      <c r="BL60" s="34">
        <f>IF(AND(BL$5&gt;$E60,BL$5&lt;=$F60),IF(BL$5=$E60+1,$C60,""),"")</f>
        <v/>
      </c>
      <c r="BM60" s="34">
        <f>IF(AND(BM$5&gt;$E60,BM$5&lt;=$F60),IF(BM$5=$E60+1,$C60,""),"")</f>
        <v/>
      </c>
      <c r="BN60" s="34">
        <f>IF(AND(BN$5&gt;$E60,BN$5&lt;=$F60),IF(BN$5=$E60+1,$C60,""),"")</f>
        <v/>
      </c>
      <c r="BO60" s="34">
        <f>IF(AND(BO$5&gt;$E60,BO$5&lt;=$F60),IF(BO$5=$E60+1,$C60,""),"")</f>
        <v/>
      </c>
      <c r="BP60" s="34">
        <f>IF(AND(BP$5&gt;$E60,BP$5&lt;=$F60),IF(BP$5=$E60+1,$C60,""),"")</f>
        <v/>
      </c>
      <c r="BQ60" s="34">
        <f>IF(AND(BQ$5&gt;$E60,BQ$5&lt;=$F60),IF(BQ$5=$E60+1,$C60,""),"")</f>
        <v/>
      </c>
      <c r="BR60" s="34">
        <f>IF(AND(BR$5&gt;$E60,BR$5&lt;=$F60),IF(BR$5=$E60+1,$C60,""),"")</f>
        <v/>
      </c>
      <c r="BS60" s="34">
        <f>IF(AND(BS$5&gt;$E60,BS$5&lt;=$F60),IF(BS$5=$E60+1,$C60,""),"")</f>
        <v/>
      </c>
      <c r="BT60" s="34">
        <f>IF(AND(BT$5&gt;$E60,BT$5&lt;=$F60),IF(BT$5=$E60+1,$C60,""),"")</f>
        <v/>
      </c>
      <c r="BU60" s="34">
        <f>IF(AND(BU$5&gt;$E60,BU$5&lt;=$F60),IF(BU$5=$E60+1,$C60,""),"")</f>
        <v/>
      </c>
      <c r="BV60" s="34">
        <f>IF(AND(BV$5&gt;$E60,BV$5&lt;=$F60),IF(BV$5=$E60+1,$C60,""),"")</f>
        <v/>
      </c>
      <c r="BW60" s="34">
        <f>IF(AND(BW$5&gt;$E60,BW$5&lt;=$F60),IF(BW$5=$E60+1,$C60,""),"")</f>
        <v/>
      </c>
      <c r="BX60" s="34">
        <f>IF(AND(BX$5&gt;$E60,BX$5&lt;=$F60),IF(BX$5=$E60+1,$C60,""),"")</f>
        <v/>
      </c>
      <c r="BY60" s="34">
        <f>IF(AND(BY$5&gt;$E60,BY$5&lt;=$F60),IF(BY$5=$E60+1,$C60,""),"")</f>
        <v/>
      </c>
      <c r="BZ60" s="34">
        <f>IF(AND(BZ$5&gt;$E60,BZ$5&lt;=$F60),IF(BZ$5=$E60+1,$C60,""),"")</f>
        <v/>
      </c>
      <c r="CA60" s="34">
        <f>IF(AND(CA$5&gt;$E60,CA$5&lt;=$F60),IF(CA$5=$E60+1,$C60,""),"")</f>
        <v/>
      </c>
      <c r="CB60" s="34">
        <f>IF(AND(CB$5&gt;$E60,CB$5&lt;=$F60),IF(CB$5=$E60+1,$C60,""),"")</f>
        <v/>
      </c>
      <c r="CC60" s="34">
        <f>IF(AND(CC$5&gt;$E60,CC$5&lt;=$F60),IF(CC$5=$E60+1,$C60,""),"")</f>
        <v/>
      </c>
      <c r="CD60" s="34">
        <f>IF(AND(CD$5&gt;$E60,CD$5&lt;=$F60),IF(CD$5=$E60+1,$C60,""),"")</f>
        <v/>
      </c>
      <c r="CE60" s="34">
        <f>IF(AND(CE$5&gt;$E60,CE$5&lt;=$F60),IF(CE$5=$E60+1,$C60,""),"")</f>
        <v/>
      </c>
      <c r="CF60" s="34">
        <f>IF(AND(CF$5&gt;$E60,CF$5&lt;=$F60),IF(CF$5=$E60+1,$C60,""),"")</f>
        <v/>
      </c>
      <c r="CG60" s="34">
        <f>IF(AND(CG$5&gt;$E60,CG$5&lt;=$F60),IF(CG$5=$E60+1,$C60,""),"")</f>
        <v/>
      </c>
      <c r="CH60" s="34">
        <f>IF(AND(CH$5&gt;$E60,CH$5&lt;=$F60),IF(CH$5=$E60+1,$C60,""),"")</f>
        <v/>
      </c>
      <c r="CI60" s="34">
        <f>IF(AND(CI$5&gt;$E60,CI$5&lt;=$F60),IF(CI$5=$E60+1,$C60,""),"")</f>
        <v/>
      </c>
      <c r="CJ60" s="34">
        <f>IF(AND(CJ$5&gt;$E60,CJ$5&lt;=$F60),IF(CJ$5=$E60+1,$C60,""),"")</f>
        <v/>
      </c>
      <c r="CK60" s="34">
        <f>IF(AND(CK$5&gt;$E60,CK$5&lt;=$F60),IF(CK$5=$E60+1,$C60,""),"")</f>
        <v/>
      </c>
      <c r="CL60" s="34">
        <f>IF(AND(CL$5&gt;$E60,CL$5&lt;=$F60),IF(CL$5=$E60+1,$C60,""),"")</f>
        <v/>
      </c>
      <c r="CM60" s="34">
        <f>IF(AND(CM$5&gt;$E60,CM$5&lt;=$F60),IF(CM$5=$E60+1,$C60,""),"")</f>
        <v/>
      </c>
      <c r="CN60" s="34">
        <f>IF(AND(CN$5&gt;$E60,CN$5&lt;=$F60),IF(CN$5=$E60+1,$C60,""),"")</f>
        <v/>
      </c>
      <c r="CO60" s="34">
        <f>IF(AND(CO$5&gt;$E60,CO$5&lt;=$F60),IF(CO$5=$E60+1,$C60,""),"")</f>
        <v/>
      </c>
      <c r="CP60" s="34">
        <f>IF(AND(CP$5&gt;$E60,CP$5&lt;=$F60),IF(CP$5=$E60+1,$C60,""),"")</f>
        <v/>
      </c>
      <c r="CQ60" s="34">
        <f>IF(AND(CQ$5&gt;$E60,CQ$5&lt;=$F60),IF(CQ$5=$E60+1,$C60,""),"")</f>
        <v/>
      </c>
      <c r="CR60" s="34">
        <f>IF(AND(CR$5&gt;$E60,CR$5&lt;=$F60),IF(CR$5=$E60+1,$C60,""),"")</f>
        <v/>
      </c>
      <c r="CS60" s="34">
        <f>IF(AND(CS$5&gt;$E60,CS$5&lt;=$F60),IF(CS$5=$E60+1,$C60,""),"")</f>
        <v/>
      </c>
    </row>
    <row r="61">
      <c r="A61" s="32">
        <f>Plan!A52</f>
        <v/>
      </c>
      <c r="B61" s="33">
        <f>Plan!C52</f>
        <v/>
      </c>
      <c r="C61" s="16">
        <f>Plan!D52</f>
        <v/>
      </c>
      <c r="D61" s="16">
        <f>Plan!I52</f>
        <v/>
      </c>
      <c r="E61" s="16">
        <f>Plan!K52</f>
        <v/>
      </c>
      <c r="F61" s="16">
        <f>Plan!L52</f>
        <v/>
      </c>
      <c r="G61" s="16">
        <f>Plan!O52</f>
        <v/>
      </c>
      <c r="H61" s="34">
        <f>IF(AND(H$5&gt;$E61,H$5&lt;=$F61),IF(H$5=$E61+1,$C61,""),"")</f>
        <v/>
      </c>
      <c r="I61" s="34">
        <f>IF(AND(I$5&gt;$E61,I$5&lt;=$F61),IF(I$5=$E61+1,$C61,""),"")</f>
        <v/>
      </c>
      <c r="J61" s="34">
        <f>IF(AND(J$5&gt;$E61,J$5&lt;=$F61),IF(J$5=$E61+1,$C61,""),"")</f>
        <v/>
      </c>
      <c r="K61" s="34">
        <f>IF(AND(K$5&gt;$E61,K$5&lt;=$F61),IF(K$5=$E61+1,$C61,""),"")</f>
        <v/>
      </c>
      <c r="L61" s="34">
        <f>IF(AND(L$5&gt;$E61,L$5&lt;=$F61),IF(L$5=$E61+1,$C61,""),"")</f>
        <v/>
      </c>
      <c r="M61" s="34">
        <f>IF(AND(M$5&gt;$E61,M$5&lt;=$F61),IF(M$5=$E61+1,$C61,""),"")</f>
        <v/>
      </c>
      <c r="N61" s="34">
        <f>IF(AND(N$5&gt;$E61,N$5&lt;=$F61),IF(N$5=$E61+1,$C61,""),"")</f>
        <v/>
      </c>
      <c r="O61" s="34">
        <f>IF(AND(O$5&gt;$E61,O$5&lt;=$F61),IF(O$5=$E61+1,$C61,""),"")</f>
        <v/>
      </c>
      <c r="P61" s="34">
        <f>IF(AND(P$5&gt;$E61,P$5&lt;=$F61),IF(P$5=$E61+1,$C61,""),"")</f>
        <v/>
      </c>
      <c r="Q61" s="34">
        <f>IF(AND(Q$5&gt;$E61,Q$5&lt;=$F61),IF(Q$5=$E61+1,$C61,""),"")</f>
        <v/>
      </c>
      <c r="R61" s="34">
        <f>IF(AND(R$5&gt;$E61,R$5&lt;=$F61),IF(R$5=$E61+1,$C61,""),"")</f>
        <v/>
      </c>
      <c r="S61" s="34">
        <f>IF(AND(S$5&gt;$E61,S$5&lt;=$F61),IF(S$5=$E61+1,$C61,""),"")</f>
        <v/>
      </c>
      <c r="T61" s="34">
        <f>IF(AND(T$5&gt;$E61,T$5&lt;=$F61),IF(T$5=$E61+1,$C61,""),"")</f>
        <v/>
      </c>
      <c r="U61" s="34">
        <f>IF(AND(U$5&gt;$E61,U$5&lt;=$F61),IF(U$5=$E61+1,$C61,""),"")</f>
        <v/>
      </c>
      <c r="V61" s="34">
        <f>IF(AND(V$5&gt;$E61,V$5&lt;=$F61),IF(V$5=$E61+1,$C61,""),"")</f>
        <v/>
      </c>
      <c r="W61" s="34">
        <f>IF(AND(W$5&gt;$E61,W$5&lt;=$F61),IF(W$5=$E61+1,$C61,""),"")</f>
        <v/>
      </c>
      <c r="X61" s="34">
        <f>IF(AND(X$5&gt;$E61,X$5&lt;=$F61),IF(X$5=$E61+1,$C61,""),"")</f>
        <v/>
      </c>
      <c r="Y61" s="34">
        <f>IF(AND(Y$5&gt;$E61,Y$5&lt;=$F61),IF(Y$5=$E61+1,$C61,""),"")</f>
        <v/>
      </c>
      <c r="Z61" s="34">
        <f>IF(AND(Z$5&gt;$E61,Z$5&lt;=$F61),IF(Z$5=$E61+1,$C61,""),"")</f>
        <v/>
      </c>
      <c r="AA61" s="34">
        <f>IF(AND(AA$5&gt;$E61,AA$5&lt;=$F61),IF(AA$5=$E61+1,$C61,""),"")</f>
        <v/>
      </c>
      <c r="AB61" s="34">
        <f>IF(AND(AB$5&gt;$E61,AB$5&lt;=$F61),IF(AB$5=$E61+1,$C61,""),"")</f>
        <v/>
      </c>
      <c r="AC61" s="34">
        <f>IF(AND(AC$5&gt;$E61,AC$5&lt;=$F61),IF(AC$5=$E61+1,$C61,""),"")</f>
        <v/>
      </c>
      <c r="AD61" s="34">
        <f>IF(AND(AD$5&gt;$E61,AD$5&lt;=$F61),IF(AD$5=$E61+1,$C61,""),"")</f>
        <v/>
      </c>
      <c r="AE61" s="34">
        <f>IF(AND(AE$5&gt;$E61,AE$5&lt;=$F61),IF(AE$5=$E61+1,$C61,""),"")</f>
        <v/>
      </c>
      <c r="AF61" s="34">
        <f>IF(AND(AF$5&gt;$E61,AF$5&lt;=$F61),IF(AF$5=$E61+1,$C61,""),"")</f>
        <v/>
      </c>
      <c r="AG61" s="34">
        <f>IF(AND(AG$5&gt;$E61,AG$5&lt;=$F61),IF(AG$5=$E61+1,$C61,""),"")</f>
        <v/>
      </c>
      <c r="AH61" s="34">
        <f>IF(AND(AH$5&gt;$E61,AH$5&lt;=$F61),IF(AH$5=$E61+1,$C61,""),"")</f>
        <v/>
      </c>
      <c r="AI61" s="34">
        <f>IF(AND(AI$5&gt;$E61,AI$5&lt;=$F61),IF(AI$5=$E61+1,$C61,""),"")</f>
        <v/>
      </c>
      <c r="AJ61" s="34">
        <f>IF(AND(AJ$5&gt;$E61,AJ$5&lt;=$F61),IF(AJ$5=$E61+1,$C61,""),"")</f>
        <v/>
      </c>
      <c r="AK61" s="34">
        <f>IF(AND(AK$5&gt;$E61,AK$5&lt;=$F61),IF(AK$5=$E61+1,$C61,""),"")</f>
        <v/>
      </c>
      <c r="AL61" s="34">
        <f>IF(AND(AL$5&gt;$E61,AL$5&lt;=$F61),IF(AL$5=$E61+1,$C61,""),"")</f>
        <v/>
      </c>
      <c r="AM61" s="34">
        <f>IF(AND(AM$5&gt;$E61,AM$5&lt;=$F61),IF(AM$5=$E61+1,$C61,""),"")</f>
        <v/>
      </c>
      <c r="AN61" s="34">
        <f>IF(AND(AN$5&gt;$E61,AN$5&lt;=$F61),IF(AN$5=$E61+1,$C61,""),"")</f>
        <v/>
      </c>
      <c r="AO61" s="34">
        <f>IF(AND(AO$5&gt;$E61,AO$5&lt;=$F61),IF(AO$5=$E61+1,$C61,""),"")</f>
        <v/>
      </c>
      <c r="AP61" s="34">
        <f>IF(AND(AP$5&gt;$E61,AP$5&lt;=$F61),IF(AP$5=$E61+1,$C61,""),"")</f>
        <v/>
      </c>
      <c r="AQ61" s="34">
        <f>IF(AND(AQ$5&gt;$E61,AQ$5&lt;=$F61),IF(AQ$5=$E61+1,$C61,""),"")</f>
        <v/>
      </c>
      <c r="AR61" s="34">
        <f>IF(AND(AR$5&gt;$E61,AR$5&lt;=$F61),IF(AR$5=$E61+1,$C61,""),"")</f>
        <v/>
      </c>
      <c r="AS61" s="34">
        <f>IF(AND(AS$5&gt;$E61,AS$5&lt;=$F61),IF(AS$5=$E61+1,$C61,""),"")</f>
        <v/>
      </c>
      <c r="AT61" s="34">
        <f>IF(AND(AT$5&gt;$E61,AT$5&lt;=$F61),IF(AT$5=$E61+1,$C61,""),"")</f>
        <v/>
      </c>
      <c r="AU61" s="34">
        <f>IF(AND(AU$5&gt;$E61,AU$5&lt;=$F61),IF(AU$5=$E61+1,$C61,""),"")</f>
        <v/>
      </c>
      <c r="AV61" s="34">
        <f>IF(AND(AV$5&gt;$E61,AV$5&lt;=$F61),IF(AV$5=$E61+1,$C61,""),"")</f>
        <v/>
      </c>
      <c r="AW61" s="34">
        <f>IF(AND(AW$5&gt;$E61,AW$5&lt;=$F61),IF(AW$5=$E61+1,$C61,""),"")</f>
        <v/>
      </c>
      <c r="AX61" s="34">
        <f>IF(AND(AX$5&gt;$E61,AX$5&lt;=$F61),IF(AX$5=$E61+1,$C61,""),"")</f>
        <v/>
      </c>
      <c r="AY61" s="34">
        <f>IF(AND(AY$5&gt;$E61,AY$5&lt;=$F61),IF(AY$5=$E61+1,$C61,""),"")</f>
        <v/>
      </c>
      <c r="AZ61" s="34">
        <f>IF(AND(AZ$5&gt;$E61,AZ$5&lt;=$F61),IF(AZ$5=$E61+1,$C61,""),"")</f>
        <v/>
      </c>
      <c r="BA61" s="34">
        <f>IF(AND(BA$5&gt;$E61,BA$5&lt;=$F61),IF(BA$5=$E61+1,$C61,""),"")</f>
        <v/>
      </c>
      <c r="BB61" s="34">
        <f>IF(AND(BB$5&gt;$E61,BB$5&lt;=$F61),IF(BB$5=$E61+1,$C61,""),"")</f>
        <v/>
      </c>
      <c r="BC61" s="34">
        <f>IF(AND(BC$5&gt;$E61,BC$5&lt;=$F61),IF(BC$5=$E61+1,$C61,""),"")</f>
        <v/>
      </c>
      <c r="BD61" s="34">
        <f>IF(AND(BD$5&gt;$E61,BD$5&lt;=$F61),IF(BD$5=$E61+1,$C61,""),"")</f>
        <v/>
      </c>
      <c r="BE61" s="34">
        <f>IF(AND(BE$5&gt;$E61,BE$5&lt;=$F61),IF(BE$5=$E61+1,$C61,""),"")</f>
        <v/>
      </c>
      <c r="BF61" s="34">
        <f>IF(AND(BF$5&gt;$E61,BF$5&lt;=$F61),IF(BF$5=$E61+1,$C61,""),"")</f>
        <v/>
      </c>
      <c r="BG61" s="34">
        <f>IF(AND(BG$5&gt;$E61,BG$5&lt;=$F61),IF(BG$5=$E61+1,$C61,""),"")</f>
        <v/>
      </c>
      <c r="BH61" s="34">
        <f>IF(AND(BH$5&gt;$E61,BH$5&lt;=$F61),IF(BH$5=$E61+1,$C61,""),"")</f>
        <v/>
      </c>
      <c r="BI61" s="34">
        <f>IF(AND(BI$5&gt;$E61,BI$5&lt;=$F61),IF(BI$5=$E61+1,$C61,""),"")</f>
        <v/>
      </c>
      <c r="BJ61" s="34">
        <f>IF(AND(BJ$5&gt;$E61,BJ$5&lt;=$F61),IF(BJ$5=$E61+1,$C61,""),"")</f>
        <v/>
      </c>
      <c r="BK61" s="34">
        <f>IF(AND(BK$5&gt;$E61,BK$5&lt;=$F61),IF(BK$5=$E61+1,$C61,""),"")</f>
        <v/>
      </c>
      <c r="BL61" s="34">
        <f>IF(AND(BL$5&gt;$E61,BL$5&lt;=$F61),IF(BL$5=$E61+1,$C61,""),"")</f>
        <v/>
      </c>
      <c r="BM61" s="34">
        <f>IF(AND(BM$5&gt;$E61,BM$5&lt;=$F61),IF(BM$5=$E61+1,$C61,""),"")</f>
        <v/>
      </c>
      <c r="BN61" s="34">
        <f>IF(AND(BN$5&gt;$E61,BN$5&lt;=$F61),IF(BN$5=$E61+1,$C61,""),"")</f>
        <v/>
      </c>
      <c r="BO61" s="34">
        <f>IF(AND(BO$5&gt;$E61,BO$5&lt;=$F61),IF(BO$5=$E61+1,$C61,""),"")</f>
        <v/>
      </c>
      <c r="BP61" s="34">
        <f>IF(AND(BP$5&gt;$E61,BP$5&lt;=$F61),IF(BP$5=$E61+1,$C61,""),"")</f>
        <v/>
      </c>
      <c r="BQ61" s="34">
        <f>IF(AND(BQ$5&gt;$E61,BQ$5&lt;=$F61),IF(BQ$5=$E61+1,$C61,""),"")</f>
        <v/>
      </c>
      <c r="BR61" s="34">
        <f>IF(AND(BR$5&gt;$E61,BR$5&lt;=$F61),IF(BR$5=$E61+1,$C61,""),"")</f>
        <v/>
      </c>
      <c r="BS61" s="34">
        <f>IF(AND(BS$5&gt;$E61,BS$5&lt;=$F61),IF(BS$5=$E61+1,$C61,""),"")</f>
        <v/>
      </c>
      <c r="BT61" s="34">
        <f>IF(AND(BT$5&gt;$E61,BT$5&lt;=$F61),IF(BT$5=$E61+1,$C61,""),"")</f>
        <v/>
      </c>
      <c r="BU61" s="34">
        <f>IF(AND(BU$5&gt;$E61,BU$5&lt;=$F61),IF(BU$5=$E61+1,$C61,""),"")</f>
        <v/>
      </c>
      <c r="BV61" s="34">
        <f>IF(AND(BV$5&gt;$E61,BV$5&lt;=$F61),IF(BV$5=$E61+1,$C61,""),"")</f>
        <v/>
      </c>
      <c r="BW61" s="34">
        <f>IF(AND(BW$5&gt;$E61,BW$5&lt;=$F61),IF(BW$5=$E61+1,$C61,""),"")</f>
        <v/>
      </c>
      <c r="BX61" s="34">
        <f>IF(AND(BX$5&gt;$E61,BX$5&lt;=$F61),IF(BX$5=$E61+1,$C61,""),"")</f>
        <v/>
      </c>
      <c r="BY61" s="34">
        <f>IF(AND(BY$5&gt;$E61,BY$5&lt;=$F61),IF(BY$5=$E61+1,$C61,""),"")</f>
        <v/>
      </c>
      <c r="BZ61" s="34">
        <f>IF(AND(BZ$5&gt;$E61,BZ$5&lt;=$F61),IF(BZ$5=$E61+1,$C61,""),"")</f>
        <v/>
      </c>
      <c r="CA61" s="34">
        <f>IF(AND(CA$5&gt;$E61,CA$5&lt;=$F61),IF(CA$5=$E61+1,$C61,""),"")</f>
        <v/>
      </c>
      <c r="CB61" s="34">
        <f>IF(AND(CB$5&gt;$E61,CB$5&lt;=$F61),IF(CB$5=$E61+1,$C61,""),"")</f>
        <v/>
      </c>
      <c r="CC61" s="34">
        <f>IF(AND(CC$5&gt;$E61,CC$5&lt;=$F61),IF(CC$5=$E61+1,$C61,""),"")</f>
        <v/>
      </c>
      <c r="CD61" s="34">
        <f>IF(AND(CD$5&gt;$E61,CD$5&lt;=$F61),IF(CD$5=$E61+1,$C61,""),"")</f>
        <v/>
      </c>
      <c r="CE61" s="34">
        <f>IF(AND(CE$5&gt;$E61,CE$5&lt;=$F61),IF(CE$5=$E61+1,$C61,""),"")</f>
        <v/>
      </c>
      <c r="CF61" s="34">
        <f>IF(AND(CF$5&gt;$E61,CF$5&lt;=$F61),IF(CF$5=$E61+1,$C61,""),"")</f>
        <v/>
      </c>
      <c r="CG61" s="34">
        <f>IF(AND(CG$5&gt;$E61,CG$5&lt;=$F61),IF(CG$5=$E61+1,$C61,""),"")</f>
        <v/>
      </c>
      <c r="CH61" s="34">
        <f>IF(AND(CH$5&gt;$E61,CH$5&lt;=$F61),IF(CH$5=$E61+1,$C61,""),"")</f>
        <v/>
      </c>
      <c r="CI61" s="34">
        <f>IF(AND(CI$5&gt;$E61,CI$5&lt;=$F61),IF(CI$5=$E61+1,$C61,""),"")</f>
        <v/>
      </c>
      <c r="CJ61" s="34">
        <f>IF(AND(CJ$5&gt;$E61,CJ$5&lt;=$F61),IF(CJ$5=$E61+1,$C61,""),"")</f>
        <v/>
      </c>
      <c r="CK61" s="34">
        <f>IF(AND(CK$5&gt;$E61,CK$5&lt;=$F61),IF(CK$5=$E61+1,$C61,""),"")</f>
        <v/>
      </c>
      <c r="CL61" s="34">
        <f>IF(AND(CL$5&gt;$E61,CL$5&lt;=$F61),IF(CL$5=$E61+1,$C61,""),"")</f>
        <v/>
      </c>
      <c r="CM61" s="34">
        <f>IF(AND(CM$5&gt;$E61,CM$5&lt;=$F61),IF(CM$5=$E61+1,$C61,""),"")</f>
        <v/>
      </c>
      <c r="CN61" s="34">
        <f>IF(AND(CN$5&gt;$E61,CN$5&lt;=$F61),IF(CN$5=$E61+1,$C61,""),"")</f>
        <v/>
      </c>
      <c r="CO61" s="34">
        <f>IF(AND(CO$5&gt;$E61,CO$5&lt;=$F61),IF(CO$5=$E61+1,$C61,""),"")</f>
        <v/>
      </c>
      <c r="CP61" s="34">
        <f>IF(AND(CP$5&gt;$E61,CP$5&lt;=$F61),IF(CP$5=$E61+1,$C61,""),"")</f>
        <v/>
      </c>
      <c r="CQ61" s="34">
        <f>IF(AND(CQ$5&gt;$E61,CQ$5&lt;=$F61),IF(CQ$5=$E61+1,$C61,""),"")</f>
        <v/>
      </c>
      <c r="CR61" s="34">
        <f>IF(AND(CR$5&gt;$E61,CR$5&lt;=$F61),IF(CR$5=$E61+1,$C61,""),"")</f>
        <v/>
      </c>
      <c r="CS61" s="34">
        <f>IF(AND(CS$5&gt;$E61,CS$5&lt;=$F61),IF(CS$5=$E61+1,$C61,""),"")</f>
        <v/>
      </c>
    </row>
    <row r="62">
      <c r="A62" s="32">
        <f>Plan!A53</f>
        <v/>
      </c>
      <c r="B62" s="33">
        <f>Plan!C53</f>
        <v/>
      </c>
      <c r="C62" s="16">
        <f>Plan!D53</f>
        <v/>
      </c>
      <c r="D62" s="16">
        <f>Plan!I53</f>
        <v/>
      </c>
      <c r="E62" s="16">
        <f>Plan!K53</f>
        <v/>
      </c>
      <c r="F62" s="16">
        <f>Plan!L53</f>
        <v/>
      </c>
      <c r="G62" s="16">
        <f>Plan!O53</f>
        <v/>
      </c>
      <c r="H62" s="34">
        <f>IF(AND(H$5&gt;$E62,H$5&lt;=$F62),IF(H$5=$E62+1,$C62,""),"")</f>
        <v/>
      </c>
      <c r="I62" s="34">
        <f>IF(AND(I$5&gt;$E62,I$5&lt;=$F62),IF(I$5=$E62+1,$C62,""),"")</f>
        <v/>
      </c>
      <c r="J62" s="34">
        <f>IF(AND(J$5&gt;$E62,J$5&lt;=$F62),IF(J$5=$E62+1,$C62,""),"")</f>
        <v/>
      </c>
      <c r="K62" s="34">
        <f>IF(AND(K$5&gt;$E62,K$5&lt;=$F62),IF(K$5=$E62+1,$C62,""),"")</f>
        <v/>
      </c>
      <c r="L62" s="34">
        <f>IF(AND(L$5&gt;$E62,L$5&lt;=$F62),IF(L$5=$E62+1,$C62,""),"")</f>
        <v/>
      </c>
      <c r="M62" s="34">
        <f>IF(AND(M$5&gt;$E62,M$5&lt;=$F62),IF(M$5=$E62+1,$C62,""),"")</f>
        <v/>
      </c>
      <c r="N62" s="34">
        <f>IF(AND(N$5&gt;$E62,N$5&lt;=$F62),IF(N$5=$E62+1,$C62,""),"")</f>
        <v/>
      </c>
      <c r="O62" s="34">
        <f>IF(AND(O$5&gt;$E62,O$5&lt;=$F62),IF(O$5=$E62+1,$C62,""),"")</f>
        <v/>
      </c>
      <c r="P62" s="34">
        <f>IF(AND(P$5&gt;$E62,P$5&lt;=$F62),IF(P$5=$E62+1,$C62,""),"")</f>
        <v/>
      </c>
      <c r="Q62" s="34">
        <f>IF(AND(Q$5&gt;$E62,Q$5&lt;=$F62),IF(Q$5=$E62+1,$C62,""),"")</f>
        <v/>
      </c>
      <c r="R62" s="34">
        <f>IF(AND(R$5&gt;$E62,R$5&lt;=$F62),IF(R$5=$E62+1,$C62,""),"")</f>
        <v/>
      </c>
      <c r="S62" s="34">
        <f>IF(AND(S$5&gt;$E62,S$5&lt;=$F62),IF(S$5=$E62+1,$C62,""),"")</f>
        <v/>
      </c>
      <c r="T62" s="34">
        <f>IF(AND(T$5&gt;$E62,T$5&lt;=$F62),IF(T$5=$E62+1,$C62,""),"")</f>
        <v/>
      </c>
      <c r="U62" s="34">
        <f>IF(AND(U$5&gt;$E62,U$5&lt;=$F62),IF(U$5=$E62+1,$C62,""),"")</f>
        <v/>
      </c>
      <c r="V62" s="34">
        <f>IF(AND(V$5&gt;$E62,V$5&lt;=$F62),IF(V$5=$E62+1,$C62,""),"")</f>
        <v/>
      </c>
      <c r="W62" s="34">
        <f>IF(AND(W$5&gt;$E62,W$5&lt;=$F62),IF(W$5=$E62+1,$C62,""),"")</f>
        <v/>
      </c>
      <c r="X62" s="34">
        <f>IF(AND(X$5&gt;$E62,X$5&lt;=$F62),IF(X$5=$E62+1,$C62,""),"")</f>
        <v/>
      </c>
      <c r="Y62" s="34">
        <f>IF(AND(Y$5&gt;$E62,Y$5&lt;=$F62),IF(Y$5=$E62+1,$C62,""),"")</f>
        <v/>
      </c>
      <c r="Z62" s="34">
        <f>IF(AND(Z$5&gt;$E62,Z$5&lt;=$F62),IF(Z$5=$E62+1,$C62,""),"")</f>
        <v/>
      </c>
      <c r="AA62" s="34">
        <f>IF(AND(AA$5&gt;$E62,AA$5&lt;=$F62),IF(AA$5=$E62+1,$C62,""),"")</f>
        <v/>
      </c>
      <c r="AB62" s="34">
        <f>IF(AND(AB$5&gt;$E62,AB$5&lt;=$F62),IF(AB$5=$E62+1,$C62,""),"")</f>
        <v/>
      </c>
      <c r="AC62" s="34">
        <f>IF(AND(AC$5&gt;$E62,AC$5&lt;=$F62),IF(AC$5=$E62+1,$C62,""),"")</f>
        <v/>
      </c>
      <c r="AD62" s="34">
        <f>IF(AND(AD$5&gt;$E62,AD$5&lt;=$F62),IF(AD$5=$E62+1,$C62,""),"")</f>
        <v/>
      </c>
      <c r="AE62" s="34">
        <f>IF(AND(AE$5&gt;$E62,AE$5&lt;=$F62),IF(AE$5=$E62+1,$C62,""),"")</f>
        <v/>
      </c>
      <c r="AF62" s="34">
        <f>IF(AND(AF$5&gt;$E62,AF$5&lt;=$F62),IF(AF$5=$E62+1,$C62,""),"")</f>
        <v/>
      </c>
      <c r="AG62" s="34">
        <f>IF(AND(AG$5&gt;$E62,AG$5&lt;=$F62),IF(AG$5=$E62+1,$C62,""),"")</f>
        <v/>
      </c>
      <c r="AH62" s="34">
        <f>IF(AND(AH$5&gt;$E62,AH$5&lt;=$F62),IF(AH$5=$E62+1,$C62,""),"")</f>
        <v/>
      </c>
      <c r="AI62" s="34">
        <f>IF(AND(AI$5&gt;$E62,AI$5&lt;=$F62),IF(AI$5=$E62+1,$C62,""),"")</f>
        <v/>
      </c>
      <c r="AJ62" s="34">
        <f>IF(AND(AJ$5&gt;$E62,AJ$5&lt;=$F62),IF(AJ$5=$E62+1,$C62,""),"")</f>
        <v/>
      </c>
      <c r="AK62" s="34">
        <f>IF(AND(AK$5&gt;$E62,AK$5&lt;=$F62),IF(AK$5=$E62+1,$C62,""),"")</f>
        <v/>
      </c>
      <c r="AL62" s="34">
        <f>IF(AND(AL$5&gt;$E62,AL$5&lt;=$F62),IF(AL$5=$E62+1,$C62,""),"")</f>
        <v/>
      </c>
      <c r="AM62" s="34">
        <f>IF(AND(AM$5&gt;$E62,AM$5&lt;=$F62),IF(AM$5=$E62+1,$C62,""),"")</f>
        <v/>
      </c>
      <c r="AN62" s="34">
        <f>IF(AND(AN$5&gt;$E62,AN$5&lt;=$F62),IF(AN$5=$E62+1,$C62,""),"")</f>
        <v/>
      </c>
      <c r="AO62" s="34">
        <f>IF(AND(AO$5&gt;$E62,AO$5&lt;=$F62),IF(AO$5=$E62+1,$C62,""),"")</f>
        <v/>
      </c>
      <c r="AP62" s="34">
        <f>IF(AND(AP$5&gt;$E62,AP$5&lt;=$F62),IF(AP$5=$E62+1,$C62,""),"")</f>
        <v/>
      </c>
      <c r="AQ62" s="34">
        <f>IF(AND(AQ$5&gt;$E62,AQ$5&lt;=$F62),IF(AQ$5=$E62+1,$C62,""),"")</f>
        <v/>
      </c>
      <c r="AR62" s="34">
        <f>IF(AND(AR$5&gt;$E62,AR$5&lt;=$F62),IF(AR$5=$E62+1,$C62,""),"")</f>
        <v/>
      </c>
      <c r="AS62" s="34">
        <f>IF(AND(AS$5&gt;$E62,AS$5&lt;=$F62),IF(AS$5=$E62+1,$C62,""),"")</f>
        <v/>
      </c>
      <c r="AT62" s="34">
        <f>IF(AND(AT$5&gt;$E62,AT$5&lt;=$F62),IF(AT$5=$E62+1,$C62,""),"")</f>
        <v/>
      </c>
      <c r="AU62" s="34">
        <f>IF(AND(AU$5&gt;$E62,AU$5&lt;=$F62),IF(AU$5=$E62+1,$C62,""),"")</f>
        <v/>
      </c>
      <c r="AV62" s="34">
        <f>IF(AND(AV$5&gt;$E62,AV$5&lt;=$F62),IF(AV$5=$E62+1,$C62,""),"")</f>
        <v/>
      </c>
      <c r="AW62" s="34">
        <f>IF(AND(AW$5&gt;$E62,AW$5&lt;=$F62),IF(AW$5=$E62+1,$C62,""),"")</f>
        <v/>
      </c>
      <c r="AX62" s="34">
        <f>IF(AND(AX$5&gt;$E62,AX$5&lt;=$F62),IF(AX$5=$E62+1,$C62,""),"")</f>
        <v/>
      </c>
      <c r="AY62" s="34">
        <f>IF(AND(AY$5&gt;$E62,AY$5&lt;=$F62),IF(AY$5=$E62+1,$C62,""),"")</f>
        <v/>
      </c>
      <c r="AZ62" s="34">
        <f>IF(AND(AZ$5&gt;$E62,AZ$5&lt;=$F62),IF(AZ$5=$E62+1,$C62,""),"")</f>
        <v/>
      </c>
      <c r="BA62" s="34">
        <f>IF(AND(BA$5&gt;$E62,BA$5&lt;=$F62),IF(BA$5=$E62+1,$C62,""),"")</f>
        <v/>
      </c>
      <c r="BB62" s="34">
        <f>IF(AND(BB$5&gt;$E62,BB$5&lt;=$F62),IF(BB$5=$E62+1,$C62,""),"")</f>
        <v/>
      </c>
      <c r="BC62" s="34">
        <f>IF(AND(BC$5&gt;$E62,BC$5&lt;=$F62),IF(BC$5=$E62+1,$C62,""),"")</f>
        <v/>
      </c>
      <c r="BD62" s="34">
        <f>IF(AND(BD$5&gt;$E62,BD$5&lt;=$F62),IF(BD$5=$E62+1,$C62,""),"")</f>
        <v/>
      </c>
      <c r="BE62" s="34">
        <f>IF(AND(BE$5&gt;$E62,BE$5&lt;=$F62),IF(BE$5=$E62+1,$C62,""),"")</f>
        <v/>
      </c>
      <c r="BF62" s="34">
        <f>IF(AND(BF$5&gt;$E62,BF$5&lt;=$F62),IF(BF$5=$E62+1,$C62,""),"")</f>
        <v/>
      </c>
      <c r="BG62" s="34">
        <f>IF(AND(BG$5&gt;$E62,BG$5&lt;=$F62),IF(BG$5=$E62+1,$C62,""),"")</f>
        <v/>
      </c>
      <c r="BH62" s="34">
        <f>IF(AND(BH$5&gt;$E62,BH$5&lt;=$F62),IF(BH$5=$E62+1,$C62,""),"")</f>
        <v/>
      </c>
      <c r="BI62" s="34">
        <f>IF(AND(BI$5&gt;$E62,BI$5&lt;=$F62),IF(BI$5=$E62+1,$C62,""),"")</f>
        <v/>
      </c>
      <c r="BJ62" s="34">
        <f>IF(AND(BJ$5&gt;$E62,BJ$5&lt;=$F62),IF(BJ$5=$E62+1,$C62,""),"")</f>
        <v/>
      </c>
      <c r="BK62" s="34">
        <f>IF(AND(BK$5&gt;$E62,BK$5&lt;=$F62),IF(BK$5=$E62+1,$C62,""),"")</f>
        <v/>
      </c>
      <c r="BL62" s="34">
        <f>IF(AND(BL$5&gt;$E62,BL$5&lt;=$F62),IF(BL$5=$E62+1,$C62,""),"")</f>
        <v/>
      </c>
      <c r="BM62" s="34">
        <f>IF(AND(BM$5&gt;$E62,BM$5&lt;=$F62),IF(BM$5=$E62+1,$C62,""),"")</f>
        <v/>
      </c>
      <c r="BN62" s="34">
        <f>IF(AND(BN$5&gt;$E62,BN$5&lt;=$F62),IF(BN$5=$E62+1,$C62,""),"")</f>
        <v/>
      </c>
      <c r="BO62" s="34">
        <f>IF(AND(BO$5&gt;$E62,BO$5&lt;=$F62),IF(BO$5=$E62+1,$C62,""),"")</f>
        <v/>
      </c>
      <c r="BP62" s="34">
        <f>IF(AND(BP$5&gt;$E62,BP$5&lt;=$F62),IF(BP$5=$E62+1,$C62,""),"")</f>
        <v/>
      </c>
      <c r="BQ62" s="34">
        <f>IF(AND(BQ$5&gt;$E62,BQ$5&lt;=$F62),IF(BQ$5=$E62+1,$C62,""),"")</f>
        <v/>
      </c>
      <c r="BR62" s="34">
        <f>IF(AND(BR$5&gt;$E62,BR$5&lt;=$F62),IF(BR$5=$E62+1,$C62,""),"")</f>
        <v/>
      </c>
      <c r="BS62" s="34">
        <f>IF(AND(BS$5&gt;$E62,BS$5&lt;=$F62),IF(BS$5=$E62+1,$C62,""),"")</f>
        <v/>
      </c>
      <c r="BT62" s="34">
        <f>IF(AND(BT$5&gt;$E62,BT$5&lt;=$F62),IF(BT$5=$E62+1,$C62,""),"")</f>
        <v/>
      </c>
      <c r="BU62" s="34">
        <f>IF(AND(BU$5&gt;$E62,BU$5&lt;=$F62),IF(BU$5=$E62+1,$C62,""),"")</f>
        <v/>
      </c>
      <c r="BV62" s="34">
        <f>IF(AND(BV$5&gt;$E62,BV$5&lt;=$F62),IF(BV$5=$E62+1,$C62,""),"")</f>
        <v/>
      </c>
      <c r="BW62" s="34">
        <f>IF(AND(BW$5&gt;$E62,BW$5&lt;=$F62),IF(BW$5=$E62+1,$C62,""),"")</f>
        <v/>
      </c>
      <c r="BX62" s="34">
        <f>IF(AND(BX$5&gt;$E62,BX$5&lt;=$F62),IF(BX$5=$E62+1,$C62,""),"")</f>
        <v/>
      </c>
      <c r="BY62" s="34">
        <f>IF(AND(BY$5&gt;$E62,BY$5&lt;=$F62),IF(BY$5=$E62+1,$C62,""),"")</f>
        <v/>
      </c>
      <c r="BZ62" s="34">
        <f>IF(AND(BZ$5&gt;$E62,BZ$5&lt;=$F62),IF(BZ$5=$E62+1,$C62,""),"")</f>
        <v/>
      </c>
      <c r="CA62" s="34">
        <f>IF(AND(CA$5&gt;$E62,CA$5&lt;=$F62),IF(CA$5=$E62+1,$C62,""),"")</f>
        <v/>
      </c>
      <c r="CB62" s="34">
        <f>IF(AND(CB$5&gt;$E62,CB$5&lt;=$F62),IF(CB$5=$E62+1,$C62,""),"")</f>
        <v/>
      </c>
      <c r="CC62" s="34">
        <f>IF(AND(CC$5&gt;$E62,CC$5&lt;=$F62),IF(CC$5=$E62+1,$C62,""),"")</f>
        <v/>
      </c>
      <c r="CD62" s="34">
        <f>IF(AND(CD$5&gt;$E62,CD$5&lt;=$F62),IF(CD$5=$E62+1,$C62,""),"")</f>
        <v/>
      </c>
      <c r="CE62" s="34">
        <f>IF(AND(CE$5&gt;$E62,CE$5&lt;=$F62),IF(CE$5=$E62+1,$C62,""),"")</f>
        <v/>
      </c>
      <c r="CF62" s="34">
        <f>IF(AND(CF$5&gt;$E62,CF$5&lt;=$F62),IF(CF$5=$E62+1,$C62,""),"")</f>
        <v/>
      </c>
      <c r="CG62" s="34">
        <f>IF(AND(CG$5&gt;$E62,CG$5&lt;=$F62),IF(CG$5=$E62+1,$C62,""),"")</f>
        <v/>
      </c>
      <c r="CH62" s="34">
        <f>IF(AND(CH$5&gt;$E62,CH$5&lt;=$F62),IF(CH$5=$E62+1,$C62,""),"")</f>
        <v/>
      </c>
      <c r="CI62" s="34">
        <f>IF(AND(CI$5&gt;$E62,CI$5&lt;=$F62),IF(CI$5=$E62+1,$C62,""),"")</f>
        <v/>
      </c>
      <c r="CJ62" s="34">
        <f>IF(AND(CJ$5&gt;$E62,CJ$5&lt;=$F62),IF(CJ$5=$E62+1,$C62,""),"")</f>
        <v/>
      </c>
      <c r="CK62" s="34">
        <f>IF(AND(CK$5&gt;$E62,CK$5&lt;=$F62),IF(CK$5=$E62+1,$C62,""),"")</f>
        <v/>
      </c>
      <c r="CL62" s="34">
        <f>IF(AND(CL$5&gt;$E62,CL$5&lt;=$F62),IF(CL$5=$E62+1,$C62,""),"")</f>
        <v/>
      </c>
      <c r="CM62" s="34">
        <f>IF(AND(CM$5&gt;$E62,CM$5&lt;=$F62),IF(CM$5=$E62+1,$C62,""),"")</f>
        <v/>
      </c>
      <c r="CN62" s="34">
        <f>IF(AND(CN$5&gt;$E62,CN$5&lt;=$F62),IF(CN$5=$E62+1,$C62,""),"")</f>
        <v/>
      </c>
      <c r="CO62" s="34">
        <f>IF(AND(CO$5&gt;$E62,CO$5&lt;=$F62),IF(CO$5=$E62+1,$C62,""),"")</f>
        <v/>
      </c>
      <c r="CP62" s="34">
        <f>IF(AND(CP$5&gt;$E62,CP$5&lt;=$F62),IF(CP$5=$E62+1,$C62,""),"")</f>
        <v/>
      </c>
      <c r="CQ62" s="34">
        <f>IF(AND(CQ$5&gt;$E62,CQ$5&lt;=$F62),IF(CQ$5=$E62+1,$C62,""),"")</f>
        <v/>
      </c>
      <c r="CR62" s="34">
        <f>IF(AND(CR$5&gt;$E62,CR$5&lt;=$F62),IF(CR$5=$E62+1,$C62,""),"")</f>
        <v/>
      </c>
      <c r="CS62" s="34">
        <f>IF(AND(CS$5&gt;$E62,CS$5&lt;=$F62),IF(CS$5=$E62+1,$C62,""),"")</f>
        <v/>
      </c>
    </row>
    <row r="63">
      <c r="A63" s="32">
        <f>Plan!A54</f>
        <v/>
      </c>
      <c r="B63" s="33">
        <f>Plan!C54</f>
        <v/>
      </c>
      <c r="C63" s="16">
        <f>Plan!D54</f>
        <v/>
      </c>
      <c r="D63" s="16">
        <f>Plan!I54</f>
        <v/>
      </c>
      <c r="E63" s="16">
        <f>Plan!K54</f>
        <v/>
      </c>
      <c r="F63" s="16">
        <f>Plan!L54</f>
        <v/>
      </c>
      <c r="G63" s="16">
        <f>Plan!O54</f>
        <v/>
      </c>
      <c r="H63" s="34">
        <f>IF(AND(H$5&gt;$E63,H$5&lt;=$F63),IF(H$5=$E63+1,$C63,""),"")</f>
        <v/>
      </c>
      <c r="I63" s="34">
        <f>IF(AND(I$5&gt;$E63,I$5&lt;=$F63),IF(I$5=$E63+1,$C63,""),"")</f>
        <v/>
      </c>
      <c r="J63" s="34">
        <f>IF(AND(J$5&gt;$E63,J$5&lt;=$F63),IF(J$5=$E63+1,$C63,""),"")</f>
        <v/>
      </c>
      <c r="K63" s="34">
        <f>IF(AND(K$5&gt;$E63,K$5&lt;=$F63),IF(K$5=$E63+1,$C63,""),"")</f>
        <v/>
      </c>
      <c r="L63" s="34">
        <f>IF(AND(L$5&gt;$E63,L$5&lt;=$F63),IF(L$5=$E63+1,$C63,""),"")</f>
        <v/>
      </c>
      <c r="M63" s="34">
        <f>IF(AND(M$5&gt;$E63,M$5&lt;=$F63),IF(M$5=$E63+1,$C63,""),"")</f>
        <v/>
      </c>
      <c r="N63" s="34">
        <f>IF(AND(N$5&gt;$E63,N$5&lt;=$F63),IF(N$5=$E63+1,$C63,""),"")</f>
        <v/>
      </c>
      <c r="O63" s="34">
        <f>IF(AND(O$5&gt;$E63,O$5&lt;=$F63),IF(O$5=$E63+1,$C63,""),"")</f>
        <v/>
      </c>
      <c r="P63" s="34">
        <f>IF(AND(P$5&gt;$E63,P$5&lt;=$F63),IF(P$5=$E63+1,$C63,""),"")</f>
        <v/>
      </c>
      <c r="Q63" s="34">
        <f>IF(AND(Q$5&gt;$E63,Q$5&lt;=$F63),IF(Q$5=$E63+1,$C63,""),"")</f>
        <v/>
      </c>
      <c r="R63" s="34">
        <f>IF(AND(R$5&gt;$E63,R$5&lt;=$F63),IF(R$5=$E63+1,$C63,""),"")</f>
        <v/>
      </c>
      <c r="S63" s="34">
        <f>IF(AND(S$5&gt;$E63,S$5&lt;=$F63),IF(S$5=$E63+1,$C63,""),"")</f>
        <v/>
      </c>
      <c r="T63" s="34">
        <f>IF(AND(T$5&gt;$E63,T$5&lt;=$F63),IF(T$5=$E63+1,$C63,""),"")</f>
        <v/>
      </c>
      <c r="U63" s="34">
        <f>IF(AND(U$5&gt;$E63,U$5&lt;=$F63),IF(U$5=$E63+1,$C63,""),"")</f>
        <v/>
      </c>
      <c r="V63" s="34">
        <f>IF(AND(V$5&gt;$E63,V$5&lt;=$F63),IF(V$5=$E63+1,$C63,""),"")</f>
        <v/>
      </c>
      <c r="W63" s="34">
        <f>IF(AND(W$5&gt;$E63,W$5&lt;=$F63),IF(W$5=$E63+1,$C63,""),"")</f>
        <v/>
      </c>
      <c r="X63" s="34">
        <f>IF(AND(X$5&gt;$E63,X$5&lt;=$F63),IF(X$5=$E63+1,$C63,""),"")</f>
        <v/>
      </c>
      <c r="Y63" s="34">
        <f>IF(AND(Y$5&gt;$E63,Y$5&lt;=$F63),IF(Y$5=$E63+1,$C63,""),"")</f>
        <v/>
      </c>
      <c r="Z63" s="34">
        <f>IF(AND(Z$5&gt;$E63,Z$5&lt;=$F63),IF(Z$5=$E63+1,$C63,""),"")</f>
        <v/>
      </c>
      <c r="AA63" s="34">
        <f>IF(AND(AA$5&gt;$E63,AA$5&lt;=$F63),IF(AA$5=$E63+1,$C63,""),"")</f>
        <v/>
      </c>
      <c r="AB63" s="34">
        <f>IF(AND(AB$5&gt;$E63,AB$5&lt;=$F63),IF(AB$5=$E63+1,$C63,""),"")</f>
        <v/>
      </c>
      <c r="AC63" s="34">
        <f>IF(AND(AC$5&gt;$E63,AC$5&lt;=$F63),IF(AC$5=$E63+1,$C63,""),"")</f>
        <v/>
      </c>
      <c r="AD63" s="34">
        <f>IF(AND(AD$5&gt;$E63,AD$5&lt;=$F63),IF(AD$5=$E63+1,$C63,""),"")</f>
        <v/>
      </c>
      <c r="AE63" s="34">
        <f>IF(AND(AE$5&gt;$E63,AE$5&lt;=$F63),IF(AE$5=$E63+1,$C63,""),"")</f>
        <v/>
      </c>
      <c r="AF63" s="34">
        <f>IF(AND(AF$5&gt;$E63,AF$5&lt;=$F63),IF(AF$5=$E63+1,$C63,""),"")</f>
        <v/>
      </c>
      <c r="AG63" s="34">
        <f>IF(AND(AG$5&gt;$E63,AG$5&lt;=$F63),IF(AG$5=$E63+1,$C63,""),"")</f>
        <v/>
      </c>
      <c r="AH63" s="34">
        <f>IF(AND(AH$5&gt;$E63,AH$5&lt;=$F63),IF(AH$5=$E63+1,$C63,""),"")</f>
        <v/>
      </c>
      <c r="AI63" s="34">
        <f>IF(AND(AI$5&gt;$E63,AI$5&lt;=$F63),IF(AI$5=$E63+1,$C63,""),"")</f>
        <v/>
      </c>
      <c r="AJ63" s="34">
        <f>IF(AND(AJ$5&gt;$E63,AJ$5&lt;=$F63),IF(AJ$5=$E63+1,$C63,""),"")</f>
        <v/>
      </c>
      <c r="AK63" s="34">
        <f>IF(AND(AK$5&gt;$E63,AK$5&lt;=$F63),IF(AK$5=$E63+1,$C63,""),"")</f>
        <v/>
      </c>
      <c r="AL63" s="34">
        <f>IF(AND(AL$5&gt;$E63,AL$5&lt;=$F63),IF(AL$5=$E63+1,$C63,""),"")</f>
        <v/>
      </c>
      <c r="AM63" s="34">
        <f>IF(AND(AM$5&gt;$E63,AM$5&lt;=$F63),IF(AM$5=$E63+1,$C63,""),"")</f>
        <v/>
      </c>
      <c r="AN63" s="34">
        <f>IF(AND(AN$5&gt;$E63,AN$5&lt;=$F63),IF(AN$5=$E63+1,$C63,""),"")</f>
        <v/>
      </c>
      <c r="AO63" s="34">
        <f>IF(AND(AO$5&gt;$E63,AO$5&lt;=$F63),IF(AO$5=$E63+1,$C63,""),"")</f>
        <v/>
      </c>
      <c r="AP63" s="34">
        <f>IF(AND(AP$5&gt;$E63,AP$5&lt;=$F63),IF(AP$5=$E63+1,$C63,""),"")</f>
        <v/>
      </c>
      <c r="AQ63" s="34">
        <f>IF(AND(AQ$5&gt;$E63,AQ$5&lt;=$F63),IF(AQ$5=$E63+1,$C63,""),"")</f>
        <v/>
      </c>
      <c r="AR63" s="34">
        <f>IF(AND(AR$5&gt;$E63,AR$5&lt;=$F63),IF(AR$5=$E63+1,$C63,""),"")</f>
        <v/>
      </c>
      <c r="AS63" s="34">
        <f>IF(AND(AS$5&gt;$E63,AS$5&lt;=$F63),IF(AS$5=$E63+1,$C63,""),"")</f>
        <v/>
      </c>
      <c r="AT63" s="34">
        <f>IF(AND(AT$5&gt;$E63,AT$5&lt;=$F63),IF(AT$5=$E63+1,$C63,""),"")</f>
        <v/>
      </c>
      <c r="AU63" s="34">
        <f>IF(AND(AU$5&gt;$E63,AU$5&lt;=$F63),IF(AU$5=$E63+1,$C63,""),"")</f>
        <v/>
      </c>
      <c r="AV63" s="34">
        <f>IF(AND(AV$5&gt;$E63,AV$5&lt;=$F63),IF(AV$5=$E63+1,$C63,""),"")</f>
        <v/>
      </c>
      <c r="AW63" s="34">
        <f>IF(AND(AW$5&gt;$E63,AW$5&lt;=$F63),IF(AW$5=$E63+1,$C63,""),"")</f>
        <v/>
      </c>
      <c r="AX63" s="34">
        <f>IF(AND(AX$5&gt;$E63,AX$5&lt;=$F63),IF(AX$5=$E63+1,$C63,""),"")</f>
        <v/>
      </c>
      <c r="AY63" s="34">
        <f>IF(AND(AY$5&gt;$E63,AY$5&lt;=$F63),IF(AY$5=$E63+1,$C63,""),"")</f>
        <v/>
      </c>
      <c r="AZ63" s="34">
        <f>IF(AND(AZ$5&gt;$E63,AZ$5&lt;=$F63),IF(AZ$5=$E63+1,$C63,""),"")</f>
        <v/>
      </c>
      <c r="BA63" s="34">
        <f>IF(AND(BA$5&gt;$E63,BA$5&lt;=$F63),IF(BA$5=$E63+1,$C63,""),"")</f>
        <v/>
      </c>
      <c r="BB63" s="34">
        <f>IF(AND(BB$5&gt;$E63,BB$5&lt;=$F63),IF(BB$5=$E63+1,$C63,""),"")</f>
        <v/>
      </c>
      <c r="BC63" s="34">
        <f>IF(AND(BC$5&gt;$E63,BC$5&lt;=$F63),IF(BC$5=$E63+1,$C63,""),"")</f>
        <v/>
      </c>
      <c r="BD63" s="34">
        <f>IF(AND(BD$5&gt;$E63,BD$5&lt;=$F63),IF(BD$5=$E63+1,$C63,""),"")</f>
        <v/>
      </c>
      <c r="BE63" s="34">
        <f>IF(AND(BE$5&gt;$E63,BE$5&lt;=$F63),IF(BE$5=$E63+1,$C63,""),"")</f>
        <v/>
      </c>
      <c r="BF63" s="34">
        <f>IF(AND(BF$5&gt;$E63,BF$5&lt;=$F63),IF(BF$5=$E63+1,$C63,""),"")</f>
        <v/>
      </c>
      <c r="BG63" s="34">
        <f>IF(AND(BG$5&gt;$E63,BG$5&lt;=$F63),IF(BG$5=$E63+1,$C63,""),"")</f>
        <v/>
      </c>
      <c r="BH63" s="34">
        <f>IF(AND(BH$5&gt;$E63,BH$5&lt;=$F63),IF(BH$5=$E63+1,$C63,""),"")</f>
        <v/>
      </c>
      <c r="BI63" s="34">
        <f>IF(AND(BI$5&gt;$E63,BI$5&lt;=$F63),IF(BI$5=$E63+1,$C63,""),"")</f>
        <v/>
      </c>
      <c r="BJ63" s="34">
        <f>IF(AND(BJ$5&gt;$E63,BJ$5&lt;=$F63),IF(BJ$5=$E63+1,$C63,""),"")</f>
        <v/>
      </c>
      <c r="BK63" s="34">
        <f>IF(AND(BK$5&gt;$E63,BK$5&lt;=$F63),IF(BK$5=$E63+1,$C63,""),"")</f>
        <v/>
      </c>
      <c r="BL63" s="34">
        <f>IF(AND(BL$5&gt;$E63,BL$5&lt;=$F63),IF(BL$5=$E63+1,$C63,""),"")</f>
        <v/>
      </c>
      <c r="BM63" s="34">
        <f>IF(AND(BM$5&gt;$E63,BM$5&lt;=$F63),IF(BM$5=$E63+1,$C63,""),"")</f>
        <v/>
      </c>
      <c r="BN63" s="34">
        <f>IF(AND(BN$5&gt;$E63,BN$5&lt;=$F63),IF(BN$5=$E63+1,$C63,""),"")</f>
        <v/>
      </c>
      <c r="BO63" s="34">
        <f>IF(AND(BO$5&gt;$E63,BO$5&lt;=$F63),IF(BO$5=$E63+1,$C63,""),"")</f>
        <v/>
      </c>
      <c r="BP63" s="34">
        <f>IF(AND(BP$5&gt;$E63,BP$5&lt;=$F63),IF(BP$5=$E63+1,$C63,""),"")</f>
        <v/>
      </c>
      <c r="BQ63" s="34">
        <f>IF(AND(BQ$5&gt;$E63,BQ$5&lt;=$F63),IF(BQ$5=$E63+1,$C63,""),"")</f>
        <v/>
      </c>
      <c r="BR63" s="34">
        <f>IF(AND(BR$5&gt;$E63,BR$5&lt;=$F63),IF(BR$5=$E63+1,$C63,""),"")</f>
        <v/>
      </c>
      <c r="BS63" s="34">
        <f>IF(AND(BS$5&gt;$E63,BS$5&lt;=$F63),IF(BS$5=$E63+1,$C63,""),"")</f>
        <v/>
      </c>
      <c r="BT63" s="34">
        <f>IF(AND(BT$5&gt;$E63,BT$5&lt;=$F63),IF(BT$5=$E63+1,$C63,""),"")</f>
        <v/>
      </c>
      <c r="BU63" s="34">
        <f>IF(AND(BU$5&gt;$E63,BU$5&lt;=$F63),IF(BU$5=$E63+1,$C63,""),"")</f>
        <v/>
      </c>
      <c r="BV63" s="34">
        <f>IF(AND(BV$5&gt;$E63,BV$5&lt;=$F63),IF(BV$5=$E63+1,$C63,""),"")</f>
        <v/>
      </c>
      <c r="BW63" s="34">
        <f>IF(AND(BW$5&gt;$E63,BW$5&lt;=$F63),IF(BW$5=$E63+1,$C63,""),"")</f>
        <v/>
      </c>
      <c r="BX63" s="34">
        <f>IF(AND(BX$5&gt;$E63,BX$5&lt;=$F63),IF(BX$5=$E63+1,$C63,""),"")</f>
        <v/>
      </c>
      <c r="BY63" s="34">
        <f>IF(AND(BY$5&gt;$E63,BY$5&lt;=$F63),IF(BY$5=$E63+1,$C63,""),"")</f>
        <v/>
      </c>
      <c r="BZ63" s="34">
        <f>IF(AND(BZ$5&gt;$E63,BZ$5&lt;=$F63),IF(BZ$5=$E63+1,$C63,""),"")</f>
        <v/>
      </c>
      <c r="CA63" s="34">
        <f>IF(AND(CA$5&gt;$E63,CA$5&lt;=$F63),IF(CA$5=$E63+1,$C63,""),"")</f>
        <v/>
      </c>
      <c r="CB63" s="34">
        <f>IF(AND(CB$5&gt;$E63,CB$5&lt;=$F63),IF(CB$5=$E63+1,$C63,""),"")</f>
        <v/>
      </c>
      <c r="CC63" s="34">
        <f>IF(AND(CC$5&gt;$E63,CC$5&lt;=$F63),IF(CC$5=$E63+1,$C63,""),"")</f>
        <v/>
      </c>
      <c r="CD63" s="34">
        <f>IF(AND(CD$5&gt;$E63,CD$5&lt;=$F63),IF(CD$5=$E63+1,$C63,""),"")</f>
        <v/>
      </c>
      <c r="CE63" s="34">
        <f>IF(AND(CE$5&gt;$E63,CE$5&lt;=$F63),IF(CE$5=$E63+1,$C63,""),"")</f>
        <v/>
      </c>
      <c r="CF63" s="34">
        <f>IF(AND(CF$5&gt;$E63,CF$5&lt;=$F63),IF(CF$5=$E63+1,$C63,""),"")</f>
        <v/>
      </c>
      <c r="CG63" s="34">
        <f>IF(AND(CG$5&gt;$E63,CG$5&lt;=$F63),IF(CG$5=$E63+1,$C63,""),"")</f>
        <v/>
      </c>
      <c r="CH63" s="34">
        <f>IF(AND(CH$5&gt;$E63,CH$5&lt;=$F63),IF(CH$5=$E63+1,$C63,""),"")</f>
        <v/>
      </c>
      <c r="CI63" s="34">
        <f>IF(AND(CI$5&gt;$E63,CI$5&lt;=$F63),IF(CI$5=$E63+1,$C63,""),"")</f>
        <v/>
      </c>
      <c r="CJ63" s="34">
        <f>IF(AND(CJ$5&gt;$E63,CJ$5&lt;=$F63),IF(CJ$5=$E63+1,$C63,""),"")</f>
        <v/>
      </c>
      <c r="CK63" s="34">
        <f>IF(AND(CK$5&gt;$E63,CK$5&lt;=$F63),IF(CK$5=$E63+1,$C63,""),"")</f>
        <v/>
      </c>
      <c r="CL63" s="34">
        <f>IF(AND(CL$5&gt;$E63,CL$5&lt;=$F63),IF(CL$5=$E63+1,$C63,""),"")</f>
        <v/>
      </c>
      <c r="CM63" s="34">
        <f>IF(AND(CM$5&gt;$E63,CM$5&lt;=$F63),IF(CM$5=$E63+1,$C63,""),"")</f>
        <v/>
      </c>
      <c r="CN63" s="34">
        <f>IF(AND(CN$5&gt;$E63,CN$5&lt;=$F63),IF(CN$5=$E63+1,$C63,""),"")</f>
        <v/>
      </c>
      <c r="CO63" s="34">
        <f>IF(AND(CO$5&gt;$E63,CO$5&lt;=$F63),IF(CO$5=$E63+1,$C63,""),"")</f>
        <v/>
      </c>
      <c r="CP63" s="34">
        <f>IF(AND(CP$5&gt;$E63,CP$5&lt;=$F63),IF(CP$5=$E63+1,$C63,""),"")</f>
        <v/>
      </c>
      <c r="CQ63" s="34">
        <f>IF(AND(CQ$5&gt;$E63,CQ$5&lt;=$F63),IF(CQ$5=$E63+1,$C63,""),"")</f>
        <v/>
      </c>
      <c r="CR63" s="34">
        <f>IF(AND(CR$5&gt;$E63,CR$5&lt;=$F63),IF(CR$5=$E63+1,$C63,""),"")</f>
        <v/>
      </c>
      <c r="CS63" s="34">
        <f>IF(AND(CS$5&gt;$E63,CS$5&lt;=$F63),IF(CS$5=$E63+1,$C63,""),"")</f>
        <v/>
      </c>
    </row>
    <row r="64">
      <c r="A64" s="32">
        <f>Plan!A55</f>
        <v/>
      </c>
      <c r="B64" s="33">
        <f>Plan!C55</f>
        <v/>
      </c>
      <c r="C64" s="16">
        <f>Plan!D55</f>
        <v/>
      </c>
      <c r="D64" s="16">
        <f>Plan!I55</f>
        <v/>
      </c>
      <c r="E64" s="16">
        <f>Plan!K55</f>
        <v/>
      </c>
      <c r="F64" s="16">
        <f>Plan!L55</f>
        <v/>
      </c>
      <c r="G64" s="16">
        <f>Plan!O55</f>
        <v/>
      </c>
      <c r="H64" s="34">
        <f>IF(AND(H$5&gt;$E64,H$5&lt;=$F64),IF(H$5=$E64+1,$C64,""),"")</f>
        <v/>
      </c>
      <c r="I64" s="34">
        <f>IF(AND(I$5&gt;$E64,I$5&lt;=$F64),IF(I$5=$E64+1,$C64,""),"")</f>
        <v/>
      </c>
      <c r="J64" s="34">
        <f>IF(AND(J$5&gt;$E64,J$5&lt;=$F64),IF(J$5=$E64+1,$C64,""),"")</f>
        <v/>
      </c>
      <c r="K64" s="34">
        <f>IF(AND(K$5&gt;$E64,K$5&lt;=$F64),IF(K$5=$E64+1,$C64,""),"")</f>
        <v/>
      </c>
      <c r="L64" s="34">
        <f>IF(AND(L$5&gt;$E64,L$5&lt;=$F64),IF(L$5=$E64+1,$C64,""),"")</f>
        <v/>
      </c>
      <c r="M64" s="34">
        <f>IF(AND(M$5&gt;$E64,M$5&lt;=$F64),IF(M$5=$E64+1,$C64,""),"")</f>
        <v/>
      </c>
      <c r="N64" s="34">
        <f>IF(AND(N$5&gt;$E64,N$5&lt;=$F64),IF(N$5=$E64+1,$C64,""),"")</f>
        <v/>
      </c>
      <c r="O64" s="34">
        <f>IF(AND(O$5&gt;$E64,O$5&lt;=$F64),IF(O$5=$E64+1,$C64,""),"")</f>
        <v/>
      </c>
      <c r="P64" s="34">
        <f>IF(AND(P$5&gt;$E64,P$5&lt;=$F64),IF(P$5=$E64+1,$C64,""),"")</f>
        <v/>
      </c>
      <c r="Q64" s="34">
        <f>IF(AND(Q$5&gt;$E64,Q$5&lt;=$F64),IF(Q$5=$E64+1,$C64,""),"")</f>
        <v/>
      </c>
      <c r="R64" s="34">
        <f>IF(AND(R$5&gt;$E64,R$5&lt;=$F64),IF(R$5=$E64+1,$C64,""),"")</f>
        <v/>
      </c>
      <c r="S64" s="34">
        <f>IF(AND(S$5&gt;$E64,S$5&lt;=$F64),IF(S$5=$E64+1,$C64,""),"")</f>
        <v/>
      </c>
      <c r="T64" s="34">
        <f>IF(AND(T$5&gt;$E64,T$5&lt;=$F64),IF(T$5=$E64+1,$C64,""),"")</f>
        <v/>
      </c>
      <c r="U64" s="34">
        <f>IF(AND(U$5&gt;$E64,U$5&lt;=$F64),IF(U$5=$E64+1,$C64,""),"")</f>
        <v/>
      </c>
      <c r="V64" s="34">
        <f>IF(AND(V$5&gt;$E64,V$5&lt;=$F64),IF(V$5=$E64+1,$C64,""),"")</f>
        <v/>
      </c>
      <c r="W64" s="34">
        <f>IF(AND(W$5&gt;$E64,W$5&lt;=$F64),IF(W$5=$E64+1,$C64,""),"")</f>
        <v/>
      </c>
      <c r="X64" s="34">
        <f>IF(AND(X$5&gt;$E64,X$5&lt;=$F64),IF(X$5=$E64+1,$C64,""),"")</f>
        <v/>
      </c>
      <c r="Y64" s="34">
        <f>IF(AND(Y$5&gt;$E64,Y$5&lt;=$F64),IF(Y$5=$E64+1,$C64,""),"")</f>
        <v/>
      </c>
      <c r="Z64" s="34">
        <f>IF(AND(Z$5&gt;$E64,Z$5&lt;=$F64),IF(Z$5=$E64+1,$C64,""),"")</f>
        <v/>
      </c>
      <c r="AA64" s="34">
        <f>IF(AND(AA$5&gt;$E64,AA$5&lt;=$F64),IF(AA$5=$E64+1,$C64,""),"")</f>
        <v/>
      </c>
      <c r="AB64" s="34">
        <f>IF(AND(AB$5&gt;$E64,AB$5&lt;=$F64),IF(AB$5=$E64+1,$C64,""),"")</f>
        <v/>
      </c>
      <c r="AC64" s="34">
        <f>IF(AND(AC$5&gt;$E64,AC$5&lt;=$F64),IF(AC$5=$E64+1,$C64,""),"")</f>
        <v/>
      </c>
      <c r="AD64" s="34">
        <f>IF(AND(AD$5&gt;$E64,AD$5&lt;=$F64),IF(AD$5=$E64+1,$C64,""),"")</f>
        <v/>
      </c>
      <c r="AE64" s="34">
        <f>IF(AND(AE$5&gt;$E64,AE$5&lt;=$F64),IF(AE$5=$E64+1,$C64,""),"")</f>
        <v/>
      </c>
      <c r="AF64" s="34">
        <f>IF(AND(AF$5&gt;$E64,AF$5&lt;=$F64),IF(AF$5=$E64+1,$C64,""),"")</f>
        <v/>
      </c>
      <c r="AG64" s="34">
        <f>IF(AND(AG$5&gt;$E64,AG$5&lt;=$F64),IF(AG$5=$E64+1,$C64,""),"")</f>
        <v/>
      </c>
      <c r="AH64" s="34">
        <f>IF(AND(AH$5&gt;$E64,AH$5&lt;=$F64),IF(AH$5=$E64+1,$C64,""),"")</f>
        <v/>
      </c>
      <c r="AI64" s="34">
        <f>IF(AND(AI$5&gt;$E64,AI$5&lt;=$F64),IF(AI$5=$E64+1,$C64,""),"")</f>
        <v/>
      </c>
      <c r="AJ64" s="34">
        <f>IF(AND(AJ$5&gt;$E64,AJ$5&lt;=$F64),IF(AJ$5=$E64+1,$C64,""),"")</f>
        <v/>
      </c>
      <c r="AK64" s="34">
        <f>IF(AND(AK$5&gt;$E64,AK$5&lt;=$F64),IF(AK$5=$E64+1,$C64,""),"")</f>
        <v/>
      </c>
      <c r="AL64" s="34">
        <f>IF(AND(AL$5&gt;$E64,AL$5&lt;=$F64),IF(AL$5=$E64+1,$C64,""),"")</f>
        <v/>
      </c>
      <c r="AM64" s="34">
        <f>IF(AND(AM$5&gt;$E64,AM$5&lt;=$F64),IF(AM$5=$E64+1,$C64,""),"")</f>
        <v/>
      </c>
      <c r="AN64" s="34">
        <f>IF(AND(AN$5&gt;$E64,AN$5&lt;=$F64),IF(AN$5=$E64+1,$C64,""),"")</f>
        <v/>
      </c>
      <c r="AO64" s="34">
        <f>IF(AND(AO$5&gt;$E64,AO$5&lt;=$F64),IF(AO$5=$E64+1,$C64,""),"")</f>
        <v/>
      </c>
      <c r="AP64" s="34">
        <f>IF(AND(AP$5&gt;$E64,AP$5&lt;=$F64),IF(AP$5=$E64+1,$C64,""),"")</f>
        <v/>
      </c>
      <c r="AQ64" s="34">
        <f>IF(AND(AQ$5&gt;$E64,AQ$5&lt;=$F64),IF(AQ$5=$E64+1,$C64,""),"")</f>
        <v/>
      </c>
      <c r="AR64" s="34">
        <f>IF(AND(AR$5&gt;$E64,AR$5&lt;=$F64),IF(AR$5=$E64+1,$C64,""),"")</f>
        <v/>
      </c>
      <c r="AS64" s="34">
        <f>IF(AND(AS$5&gt;$E64,AS$5&lt;=$F64),IF(AS$5=$E64+1,$C64,""),"")</f>
        <v/>
      </c>
      <c r="AT64" s="34">
        <f>IF(AND(AT$5&gt;$E64,AT$5&lt;=$F64),IF(AT$5=$E64+1,$C64,""),"")</f>
        <v/>
      </c>
      <c r="AU64" s="34">
        <f>IF(AND(AU$5&gt;$E64,AU$5&lt;=$F64),IF(AU$5=$E64+1,$C64,""),"")</f>
        <v/>
      </c>
      <c r="AV64" s="34">
        <f>IF(AND(AV$5&gt;$E64,AV$5&lt;=$F64),IF(AV$5=$E64+1,$C64,""),"")</f>
        <v/>
      </c>
      <c r="AW64" s="34">
        <f>IF(AND(AW$5&gt;$E64,AW$5&lt;=$F64),IF(AW$5=$E64+1,$C64,""),"")</f>
        <v/>
      </c>
      <c r="AX64" s="34">
        <f>IF(AND(AX$5&gt;$E64,AX$5&lt;=$F64),IF(AX$5=$E64+1,$C64,""),"")</f>
        <v/>
      </c>
      <c r="AY64" s="34">
        <f>IF(AND(AY$5&gt;$E64,AY$5&lt;=$F64),IF(AY$5=$E64+1,$C64,""),"")</f>
        <v/>
      </c>
      <c r="AZ64" s="34">
        <f>IF(AND(AZ$5&gt;$E64,AZ$5&lt;=$F64),IF(AZ$5=$E64+1,$C64,""),"")</f>
        <v/>
      </c>
      <c r="BA64" s="34">
        <f>IF(AND(BA$5&gt;$E64,BA$5&lt;=$F64),IF(BA$5=$E64+1,$C64,""),"")</f>
        <v/>
      </c>
      <c r="BB64" s="34">
        <f>IF(AND(BB$5&gt;$E64,BB$5&lt;=$F64),IF(BB$5=$E64+1,$C64,""),"")</f>
        <v/>
      </c>
      <c r="BC64" s="34">
        <f>IF(AND(BC$5&gt;$E64,BC$5&lt;=$F64),IF(BC$5=$E64+1,$C64,""),"")</f>
        <v/>
      </c>
      <c r="BD64" s="34">
        <f>IF(AND(BD$5&gt;$E64,BD$5&lt;=$F64),IF(BD$5=$E64+1,$C64,""),"")</f>
        <v/>
      </c>
      <c r="BE64" s="34">
        <f>IF(AND(BE$5&gt;$E64,BE$5&lt;=$F64),IF(BE$5=$E64+1,$C64,""),"")</f>
        <v/>
      </c>
      <c r="BF64" s="34">
        <f>IF(AND(BF$5&gt;$E64,BF$5&lt;=$F64),IF(BF$5=$E64+1,$C64,""),"")</f>
        <v/>
      </c>
      <c r="BG64" s="34">
        <f>IF(AND(BG$5&gt;$E64,BG$5&lt;=$F64),IF(BG$5=$E64+1,$C64,""),"")</f>
        <v/>
      </c>
      <c r="BH64" s="34">
        <f>IF(AND(BH$5&gt;$E64,BH$5&lt;=$F64),IF(BH$5=$E64+1,$C64,""),"")</f>
        <v/>
      </c>
      <c r="BI64" s="34">
        <f>IF(AND(BI$5&gt;$E64,BI$5&lt;=$F64),IF(BI$5=$E64+1,$C64,""),"")</f>
        <v/>
      </c>
      <c r="BJ64" s="34">
        <f>IF(AND(BJ$5&gt;$E64,BJ$5&lt;=$F64),IF(BJ$5=$E64+1,$C64,""),"")</f>
        <v/>
      </c>
      <c r="BK64" s="34">
        <f>IF(AND(BK$5&gt;$E64,BK$5&lt;=$F64),IF(BK$5=$E64+1,$C64,""),"")</f>
        <v/>
      </c>
      <c r="BL64" s="34">
        <f>IF(AND(BL$5&gt;$E64,BL$5&lt;=$F64),IF(BL$5=$E64+1,$C64,""),"")</f>
        <v/>
      </c>
      <c r="BM64" s="34">
        <f>IF(AND(BM$5&gt;$E64,BM$5&lt;=$F64),IF(BM$5=$E64+1,$C64,""),"")</f>
        <v/>
      </c>
      <c r="BN64" s="34">
        <f>IF(AND(BN$5&gt;$E64,BN$5&lt;=$F64),IF(BN$5=$E64+1,$C64,""),"")</f>
        <v/>
      </c>
      <c r="BO64" s="34">
        <f>IF(AND(BO$5&gt;$E64,BO$5&lt;=$F64),IF(BO$5=$E64+1,$C64,""),"")</f>
        <v/>
      </c>
      <c r="BP64" s="34">
        <f>IF(AND(BP$5&gt;$E64,BP$5&lt;=$F64),IF(BP$5=$E64+1,$C64,""),"")</f>
        <v/>
      </c>
      <c r="BQ64" s="34">
        <f>IF(AND(BQ$5&gt;$E64,BQ$5&lt;=$F64),IF(BQ$5=$E64+1,$C64,""),"")</f>
        <v/>
      </c>
      <c r="BR64" s="34">
        <f>IF(AND(BR$5&gt;$E64,BR$5&lt;=$F64),IF(BR$5=$E64+1,$C64,""),"")</f>
        <v/>
      </c>
      <c r="BS64" s="34">
        <f>IF(AND(BS$5&gt;$E64,BS$5&lt;=$F64),IF(BS$5=$E64+1,$C64,""),"")</f>
        <v/>
      </c>
      <c r="BT64" s="34">
        <f>IF(AND(BT$5&gt;$E64,BT$5&lt;=$F64),IF(BT$5=$E64+1,$C64,""),"")</f>
        <v/>
      </c>
      <c r="BU64" s="34">
        <f>IF(AND(BU$5&gt;$E64,BU$5&lt;=$F64),IF(BU$5=$E64+1,$C64,""),"")</f>
        <v/>
      </c>
      <c r="BV64" s="34">
        <f>IF(AND(BV$5&gt;$E64,BV$5&lt;=$F64),IF(BV$5=$E64+1,$C64,""),"")</f>
        <v/>
      </c>
      <c r="BW64" s="34">
        <f>IF(AND(BW$5&gt;$E64,BW$5&lt;=$F64),IF(BW$5=$E64+1,$C64,""),"")</f>
        <v/>
      </c>
      <c r="BX64" s="34">
        <f>IF(AND(BX$5&gt;$E64,BX$5&lt;=$F64),IF(BX$5=$E64+1,$C64,""),"")</f>
        <v/>
      </c>
      <c r="BY64" s="34">
        <f>IF(AND(BY$5&gt;$E64,BY$5&lt;=$F64),IF(BY$5=$E64+1,$C64,""),"")</f>
        <v/>
      </c>
      <c r="BZ64" s="34">
        <f>IF(AND(BZ$5&gt;$E64,BZ$5&lt;=$F64),IF(BZ$5=$E64+1,$C64,""),"")</f>
        <v/>
      </c>
      <c r="CA64" s="34">
        <f>IF(AND(CA$5&gt;$E64,CA$5&lt;=$F64),IF(CA$5=$E64+1,$C64,""),"")</f>
        <v/>
      </c>
      <c r="CB64" s="34">
        <f>IF(AND(CB$5&gt;$E64,CB$5&lt;=$F64),IF(CB$5=$E64+1,$C64,""),"")</f>
        <v/>
      </c>
      <c r="CC64" s="34">
        <f>IF(AND(CC$5&gt;$E64,CC$5&lt;=$F64),IF(CC$5=$E64+1,$C64,""),"")</f>
        <v/>
      </c>
      <c r="CD64" s="34">
        <f>IF(AND(CD$5&gt;$E64,CD$5&lt;=$F64),IF(CD$5=$E64+1,$C64,""),"")</f>
        <v/>
      </c>
      <c r="CE64" s="34">
        <f>IF(AND(CE$5&gt;$E64,CE$5&lt;=$F64),IF(CE$5=$E64+1,$C64,""),"")</f>
        <v/>
      </c>
      <c r="CF64" s="34">
        <f>IF(AND(CF$5&gt;$E64,CF$5&lt;=$F64),IF(CF$5=$E64+1,$C64,""),"")</f>
        <v/>
      </c>
      <c r="CG64" s="34">
        <f>IF(AND(CG$5&gt;$E64,CG$5&lt;=$F64),IF(CG$5=$E64+1,$C64,""),"")</f>
        <v/>
      </c>
      <c r="CH64" s="34">
        <f>IF(AND(CH$5&gt;$E64,CH$5&lt;=$F64),IF(CH$5=$E64+1,$C64,""),"")</f>
        <v/>
      </c>
      <c r="CI64" s="34">
        <f>IF(AND(CI$5&gt;$E64,CI$5&lt;=$F64),IF(CI$5=$E64+1,$C64,""),"")</f>
        <v/>
      </c>
      <c r="CJ64" s="34">
        <f>IF(AND(CJ$5&gt;$E64,CJ$5&lt;=$F64),IF(CJ$5=$E64+1,$C64,""),"")</f>
        <v/>
      </c>
      <c r="CK64" s="34">
        <f>IF(AND(CK$5&gt;$E64,CK$5&lt;=$F64),IF(CK$5=$E64+1,$C64,""),"")</f>
        <v/>
      </c>
      <c r="CL64" s="34">
        <f>IF(AND(CL$5&gt;$E64,CL$5&lt;=$F64),IF(CL$5=$E64+1,$C64,""),"")</f>
        <v/>
      </c>
      <c r="CM64" s="34">
        <f>IF(AND(CM$5&gt;$E64,CM$5&lt;=$F64),IF(CM$5=$E64+1,$C64,""),"")</f>
        <v/>
      </c>
      <c r="CN64" s="34">
        <f>IF(AND(CN$5&gt;$E64,CN$5&lt;=$F64),IF(CN$5=$E64+1,$C64,""),"")</f>
        <v/>
      </c>
      <c r="CO64" s="34">
        <f>IF(AND(CO$5&gt;$E64,CO$5&lt;=$F64),IF(CO$5=$E64+1,$C64,""),"")</f>
        <v/>
      </c>
      <c r="CP64" s="34">
        <f>IF(AND(CP$5&gt;$E64,CP$5&lt;=$F64),IF(CP$5=$E64+1,$C64,""),"")</f>
        <v/>
      </c>
      <c r="CQ64" s="34">
        <f>IF(AND(CQ$5&gt;$E64,CQ$5&lt;=$F64),IF(CQ$5=$E64+1,$C64,""),"")</f>
        <v/>
      </c>
      <c r="CR64" s="34">
        <f>IF(AND(CR$5&gt;$E64,CR$5&lt;=$F64),IF(CR$5=$E64+1,$C64,""),"")</f>
        <v/>
      </c>
      <c r="CS64" s="34">
        <f>IF(AND(CS$5&gt;$E64,CS$5&lt;=$F64),IF(CS$5=$E64+1,$C64,""),"")</f>
        <v/>
      </c>
    </row>
    <row r="65">
      <c r="A65" s="32">
        <f>Plan!A56</f>
        <v/>
      </c>
      <c r="B65" s="33">
        <f>Plan!C56</f>
        <v/>
      </c>
      <c r="C65" s="16">
        <f>Plan!D56</f>
        <v/>
      </c>
      <c r="D65" s="16">
        <f>Plan!I56</f>
        <v/>
      </c>
      <c r="E65" s="16">
        <f>Plan!K56</f>
        <v/>
      </c>
      <c r="F65" s="16">
        <f>Plan!L56</f>
        <v/>
      </c>
      <c r="G65" s="16">
        <f>Plan!O56</f>
        <v/>
      </c>
      <c r="H65" s="34">
        <f>IF(AND(H$5&gt;$E65,H$5&lt;=$F65),IF(H$5=$E65+1,$C65,""),"")</f>
        <v/>
      </c>
      <c r="I65" s="34">
        <f>IF(AND(I$5&gt;$E65,I$5&lt;=$F65),IF(I$5=$E65+1,$C65,""),"")</f>
        <v/>
      </c>
      <c r="J65" s="34">
        <f>IF(AND(J$5&gt;$E65,J$5&lt;=$F65),IF(J$5=$E65+1,$C65,""),"")</f>
        <v/>
      </c>
      <c r="K65" s="34">
        <f>IF(AND(K$5&gt;$E65,K$5&lt;=$F65),IF(K$5=$E65+1,$C65,""),"")</f>
        <v/>
      </c>
      <c r="L65" s="34">
        <f>IF(AND(L$5&gt;$E65,L$5&lt;=$F65),IF(L$5=$E65+1,$C65,""),"")</f>
        <v/>
      </c>
      <c r="M65" s="34">
        <f>IF(AND(M$5&gt;$E65,M$5&lt;=$F65),IF(M$5=$E65+1,$C65,""),"")</f>
        <v/>
      </c>
      <c r="N65" s="34">
        <f>IF(AND(N$5&gt;$E65,N$5&lt;=$F65),IF(N$5=$E65+1,$C65,""),"")</f>
        <v/>
      </c>
      <c r="O65" s="34">
        <f>IF(AND(O$5&gt;$E65,O$5&lt;=$F65),IF(O$5=$E65+1,$C65,""),"")</f>
        <v/>
      </c>
      <c r="P65" s="34">
        <f>IF(AND(P$5&gt;$E65,P$5&lt;=$F65),IF(P$5=$E65+1,$C65,""),"")</f>
        <v/>
      </c>
      <c r="Q65" s="34">
        <f>IF(AND(Q$5&gt;$E65,Q$5&lt;=$F65),IF(Q$5=$E65+1,$C65,""),"")</f>
        <v/>
      </c>
      <c r="R65" s="34">
        <f>IF(AND(R$5&gt;$E65,R$5&lt;=$F65),IF(R$5=$E65+1,$C65,""),"")</f>
        <v/>
      </c>
      <c r="S65" s="34">
        <f>IF(AND(S$5&gt;$E65,S$5&lt;=$F65),IF(S$5=$E65+1,$C65,""),"")</f>
        <v/>
      </c>
      <c r="T65" s="34">
        <f>IF(AND(T$5&gt;$E65,T$5&lt;=$F65),IF(T$5=$E65+1,$C65,""),"")</f>
        <v/>
      </c>
      <c r="U65" s="34">
        <f>IF(AND(U$5&gt;$E65,U$5&lt;=$F65),IF(U$5=$E65+1,$C65,""),"")</f>
        <v/>
      </c>
      <c r="V65" s="34">
        <f>IF(AND(V$5&gt;$E65,V$5&lt;=$F65),IF(V$5=$E65+1,$C65,""),"")</f>
        <v/>
      </c>
      <c r="W65" s="34">
        <f>IF(AND(W$5&gt;$E65,W$5&lt;=$F65),IF(W$5=$E65+1,$C65,""),"")</f>
        <v/>
      </c>
      <c r="X65" s="34">
        <f>IF(AND(X$5&gt;$E65,X$5&lt;=$F65),IF(X$5=$E65+1,$C65,""),"")</f>
        <v/>
      </c>
      <c r="Y65" s="34">
        <f>IF(AND(Y$5&gt;$E65,Y$5&lt;=$F65),IF(Y$5=$E65+1,$C65,""),"")</f>
        <v/>
      </c>
      <c r="Z65" s="34">
        <f>IF(AND(Z$5&gt;$E65,Z$5&lt;=$F65),IF(Z$5=$E65+1,$C65,""),"")</f>
        <v/>
      </c>
      <c r="AA65" s="34">
        <f>IF(AND(AA$5&gt;$E65,AA$5&lt;=$F65),IF(AA$5=$E65+1,$C65,""),"")</f>
        <v/>
      </c>
      <c r="AB65" s="34">
        <f>IF(AND(AB$5&gt;$E65,AB$5&lt;=$F65),IF(AB$5=$E65+1,$C65,""),"")</f>
        <v/>
      </c>
      <c r="AC65" s="34">
        <f>IF(AND(AC$5&gt;$E65,AC$5&lt;=$F65),IF(AC$5=$E65+1,$C65,""),"")</f>
        <v/>
      </c>
      <c r="AD65" s="34">
        <f>IF(AND(AD$5&gt;$E65,AD$5&lt;=$F65),IF(AD$5=$E65+1,$C65,""),"")</f>
        <v/>
      </c>
      <c r="AE65" s="34">
        <f>IF(AND(AE$5&gt;$E65,AE$5&lt;=$F65),IF(AE$5=$E65+1,$C65,""),"")</f>
        <v/>
      </c>
      <c r="AF65" s="34">
        <f>IF(AND(AF$5&gt;$E65,AF$5&lt;=$F65),IF(AF$5=$E65+1,$C65,""),"")</f>
        <v/>
      </c>
      <c r="AG65" s="34">
        <f>IF(AND(AG$5&gt;$E65,AG$5&lt;=$F65),IF(AG$5=$E65+1,$C65,""),"")</f>
        <v/>
      </c>
      <c r="AH65" s="34">
        <f>IF(AND(AH$5&gt;$E65,AH$5&lt;=$F65),IF(AH$5=$E65+1,$C65,""),"")</f>
        <v/>
      </c>
      <c r="AI65" s="34">
        <f>IF(AND(AI$5&gt;$E65,AI$5&lt;=$F65),IF(AI$5=$E65+1,$C65,""),"")</f>
        <v/>
      </c>
      <c r="AJ65" s="34">
        <f>IF(AND(AJ$5&gt;$E65,AJ$5&lt;=$F65),IF(AJ$5=$E65+1,$C65,""),"")</f>
        <v/>
      </c>
      <c r="AK65" s="34">
        <f>IF(AND(AK$5&gt;$E65,AK$5&lt;=$F65),IF(AK$5=$E65+1,$C65,""),"")</f>
        <v/>
      </c>
      <c r="AL65" s="34">
        <f>IF(AND(AL$5&gt;$E65,AL$5&lt;=$F65),IF(AL$5=$E65+1,$C65,""),"")</f>
        <v/>
      </c>
      <c r="AM65" s="34">
        <f>IF(AND(AM$5&gt;$E65,AM$5&lt;=$F65),IF(AM$5=$E65+1,$C65,""),"")</f>
        <v/>
      </c>
      <c r="AN65" s="34">
        <f>IF(AND(AN$5&gt;$E65,AN$5&lt;=$F65),IF(AN$5=$E65+1,$C65,""),"")</f>
        <v/>
      </c>
      <c r="AO65" s="34">
        <f>IF(AND(AO$5&gt;$E65,AO$5&lt;=$F65),IF(AO$5=$E65+1,$C65,""),"")</f>
        <v/>
      </c>
      <c r="AP65" s="34">
        <f>IF(AND(AP$5&gt;$E65,AP$5&lt;=$F65),IF(AP$5=$E65+1,$C65,""),"")</f>
        <v/>
      </c>
      <c r="AQ65" s="34">
        <f>IF(AND(AQ$5&gt;$E65,AQ$5&lt;=$F65),IF(AQ$5=$E65+1,$C65,""),"")</f>
        <v/>
      </c>
      <c r="AR65" s="34">
        <f>IF(AND(AR$5&gt;$E65,AR$5&lt;=$F65),IF(AR$5=$E65+1,$C65,""),"")</f>
        <v/>
      </c>
      <c r="AS65" s="34">
        <f>IF(AND(AS$5&gt;$E65,AS$5&lt;=$F65),IF(AS$5=$E65+1,$C65,""),"")</f>
        <v/>
      </c>
      <c r="AT65" s="34">
        <f>IF(AND(AT$5&gt;$E65,AT$5&lt;=$F65),IF(AT$5=$E65+1,$C65,""),"")</f>
        <v/>
      </c>
      <c r="AU65" s="34">
        <f>IF(AND(AU$5&gt;$E65,AU$5&lt;=$F65),IF(AU$5=$E65+1,$C65,""),"")</f>
        <v/>
      </c>
      <c r="AV65" s="34">
        <f>IF(AND(AV$5&gt;$E65,AV$5&lt;=$F65),IF(AV$5=$E65+1,$C65,""),"")</f>
        <v/>
      </c>
      <c r="AW65" s="34">
        <f>IF(AND(AW$5&gt;$E65,AW$5&lt;=$F65),IF(AW$5=$E65+1,$C65,""),"")</f>
        <v/>
      </c>
      <c r="AX65" s="34">
        <f>IF(AND(AX$5&gt;$E65,AX$5&lt;=$F65),IF(AX$5=$E65+1,$C65,""),"")</f>
        <v/>
      </c>
      <c r="AY65" s="34">
        <f>IF(AND(AY$5&gt;$E65,AY$5&lt;=$F65),IF(AY$5=$E65+1,$C65,""),"")</f>
        <v/>
      </c>
      <c r="AZ65" s="34">
        <f>IF(AND(AZ$5&gt;$E65,AZ$5&lt;=$F65),IF(AZ$5=$E65+1,$C65,""),"")</f>
        <v/>
      </c>
      <c r="BA65" s="34">
        <f>IF(AND(BA$5&gt;$E65,BA$5&lt;=$F65),IF(BA$5=$E65+1,$C65,""),"")</f>
        <v/>
      </c>
      <c r="BB65" s="34">
        <f>IF(AND(BB$5&gt;$E65,BB$5&lt;=$F65),IF(BB$5=$E65+1,$C65,""),"")</f>
        <v/>
      </c>
      <c r="BC65" s="34">
        <f>IF(AND(BC$5&gt;$E65,BC$5&lt;=$F65),IF(BC$5=$E65+1,$C65,""),"")</f>
        <v/>
      </c>
      <c r="BD65" s="34">
        <f>IF(AND(BD$5&gt;$E65,BD$5&lt;=$F65),IF(BD$5=$E65+1,$C65,""),"")</f>
        <v/>
      </c>
      <c r="BE65" s="34">
        <f>IF(AND(BE$5&gt;$E65,BE$5&lt;=$F65),IF(BE$5=$E65+1,$C65,""),"")</f>
        <v/>
      </c>
      <c r="BF65" s="34">
        <f>IF(AND(BF$5&gt;$E65,BF$5&lt;=$F65),IF(BF$5=$E65+1,$C65,""),"")</f>
        <v/>
      </c>
      <c r="BG65" s="34">
        <f>IF(AND(BG$5&gt;$E65,BG$5&lt;=$F65),IF(BG$5=$E65+1,$C65,""),"")</f>
        <v/>
      </c>
      <c r="BH65" s="34">
        <f>IF(AND(BH$5&gt;$E65,BH$5&lt;=$F65),IF(BH$5=$E65+1,$C65,""),"")</f>
        <v/>
      </c>
      <c r="BI65" s="34">
        <f>IF(AND(BI$5&gt;$E65,BI$5&lt;=$F65),IF(BI$5=$E65+1,$C65,""),"")</f>
        <v/>
      </c>
      <c r="BJ65" s="34">
        <f>IF(AND(BJ$5&gt;$E65,BJ$5&lt;=$F65),IF(BJ$5=$E65+1,$C65,""),"")</f>
        <v/>
      </c>
      <c r="BK65" s="34">
        <f>IF(AND(BK$5&gt;$E65,BK$5&lt;=$F65),IF(BK$5=$E65+1,$C65,""),"")</f>
        <v/>
      </c>
      <c r="BL65" s="34">
        <f>IF(AND(BL$5&gt;$E65,BL$5&lt;=$F65),IF(BL$5=$E65+1,$C65,""),"")</f>
        <v/>
      </c>
      <c r="BM65" s="34">
        <f>IF(AND(BM$5&gt;$E65,BM$5&lt;=$F65),IF(BM$5=$E65+1,$C65,""),"")</f>
        <v/>
      </c>
      <c r="BN65" s="34">
        <f>IF(AND(BN$5&gt;$E65,BN$5&lt;=$F65),IF(BN$5=$E65+1,$C65,""),"")</f>
        <v/>
      </c>
      <c r="BO65" s="34">
        <f>IF(AND(BO$5&gt;$E65,BO$5&lt;=$F65),IF(BO$5=$E65+1,$C65,""),"")</f>
        <v/>
      </c>
      <c r="BP65" s="34">
        <f>IF(AND(BP$5&gt;$E65,BP$5&lt;=$F65),IF(BP$5=$E65+1,$C65,""),"")</f>
        <v/>
      </c>
      <c r="BQ65" s="34">
        <f>IF(AND(BQ$5&gt;$E65,BQ$5&lt;=$F65),IF(BQ$5=$E65+1,$C65,""),"")</f>
        <v/>
      </c>
      <c r="BR65" s="34">
        <f>IF(AND(BR$5&gt;$E65,BR$5&lt;=$F65),IF(BR$5=$E65+1,$C65,""),"")</f>
        <v/>
      </c>
      <c r="BS65" s="34">
        <f>IF(AND(BS$5&gt;$E65,BS$5&lt;=$F65),IF(BS$5=$E65+1,$C65,""),"")</f>
        <v/>
      </c>
      <c r="BT65" s="34">
        <f>IF(AND(BT$5&gt;$E65,BT$5&lt;=$F65),IF(BT$5=$E65+1,$C65,""),"")</f>
        <v/>
      </c>
      <c r="BU65" s="34">
        <f>IF(AND(BU$5&gt;$E65,BU$5&lt;=$F65),IF(BU$5=$E65+1,$C65,""),"")</f>
        <v/>
      </c>
      <c r="BV65" s="34">
        <f>IF(AND(BV$5&gt;$E65,BV$5&lt;=$F65),IF(BV$5=$E65+1,$C65,""),"")</f>
        <v/>
      </c>
      <c r="BW65" s="34">
        <f>IF(AND(BW$5&gt;$E65,BW$5&lt;=$F65),IF(BW$5=$E65+1,$C65,""),"")</f>
        <v/>
      </c>
      <c r="BX65" s="34">
        <f>IF(AND(BX$5&gt;$E65,BX$5&lt;=$F65),IF(BX$5=$E65+1,$C65,""),"")</f>
        <v/>
      </c>
      <c r="BY65" s="34">
        <f>IF(AND(BY$5&gt;$E65,BY$5&lt;=$F65),IF(BY$5=$E65+1,$C65,""),"")</f>
        <v/>
      </c>
      <c r="BZ65" s="34">
        <f>IF(AND(BZ$5&gt;$E65,BZ$5&lt;=$F65),IF(BZ$5=$E65+1,$C65,""),"")</f>
        <v/>
      </c>
      <c r="CA65" s="34">
        <f>IF(AND(CA$5&gt;$E65,CA$5&lt;=$F65),IF(CA$5=$E65+1,$C65,""),"")</f>
        <v/>
      </c>
      <c r="CB65" s="34">
        <f>IF(AND(CB$5&gt;$E65,CB$5&lt;=$F65),IF(CB$5=$E65+1,$C65,""),"")</f>
        <v/>
      </c>
      <c r="CC65" s="34">
        <f>IF(AND(CC$5&gt;$E65,CC$5&lt;=$F65),IF(CC$5=$E65+1,$C65,""),"")</f>
        <v/>
      </c>
      <c r="CD65" s="34">
        <f>IF(AND(CD$5&gt;$E65,CD$5&lt;=$F65),IF(CD$5=$E65+1,$C65,""),"")</f>
        <v/>
      </c>
      <c r="CE65" s="34">
        <f>IF(AND(CE$5&gt;$E65,CE$5&lt;=$F65),IF(CE$5=$E65+1,$C65,""),"")</f>
        <v/>
      </c>
      <c r="CF65" s="34">
        <f>IF(AND(CF$5&gt;$E65,CF$5&lt;=$F65),IF(CF$5=$E65+1,$C65,""),"")</f>
        <v/>
      </c>
      <c r="CG65" s="34">
        <f>IF(AND(CG$5&gt;$E65,CG$5&lt;=$F65),IF(CG$5=$E65+1,$C65,""),"")</f>
        <v/>
      </c>
      <c r="CH65" s="34">
        <f>IF(AND(CH$5&gt;$E65,CH$5&lt;=$F65),IF(CH$5=$E65+1,$C65,""),"")</f>
        <v/>
      </c>
      <c r="CI65" s="34">
        <f>IF(AND(CI$5&gt;$E65,CI$5&lt;=$F65),IF(CI$5=$E65+1,$C65,""),"")</f>
        <v/>
      </c>
      <c r="CJ65" s="34">
        <f>IF(AND(CJ$5&gt;$E65,CJ$5&lt;=$F65),IF(CJ$5=$E65+1,$C65,""),"")</f>
        <v/>
      </c>
      <c r="CK65" s="34">
        <f>IF(AND(CK$5&gt;$E65,CK$5&lt;=$F65),IF(CK$5=$E65+1,$C65,""),"")</f>
        <v/>
      </c>
      <c r="CL65" s="34">
        <f>IF(AND(CL$5&gt;$E65,CL$5&lt;=$F65),IF(CL$5=$E65+1,$C65,""),"")</f>
        <v/>
      </c>
      <c r="CM65" s="34">
        <f>IF(AND(CM$5&gt;$E65,CM$5&lt;=$F65),IF(CM$5=$E65+1,$C65,""),"")</f>
        <v/>
      </c>
      <c r="CN65" s="34">
        <f>IF(AND(CN$5&gt;$E65,CN$5&lt;=$F65),IF(CN$5=$E65+1,$C65,""),"")</f>
        <v/>
      </c>
      <c r="CO65" s="34">
        <f>IF(AND(CO$5&gt;$E65,CO$5&lt;=$F65),IF(CO$5=$E65+1,$C65,""),"")</f>
        <v/>
      </c>
      <c r="CP65" s="34">
        <f>IF(AND(CP$5&gt;$E65,CP$5&lt;=$F65),IF(CP$5=$E65+1,$C65,""),"")</f>
        <v/>
      </c>
      <c r="CQ65" s="34">
        <f>IF(AND(CQ$5&gt;$E65,CQ$5&lt;=$F65),IF(CQ$5=$E65+1,$C65,""),"")</f>
        <v/>
      </c>
      <c r="CR65" s="34">
        <f>IF(AND(CR$5&gt;$E65,CR$5&lt;=$F65),IF(CR$5=$E65+1,$C65,""),"")</f>
        <v/>
      </c>
      <c r="CS65" s="34">
        <f>IF(AND(CS$5&gt;$E65,CS$5&lt;=$F65),IF(CS$5=$E65+1,$C65,""),"")</f>
        <v/>
      </c>
    </row>
    <row r="66">
      <c r="A66" s="32">
        <f>Plan!A57</f>
        <v/>
      </c>
      <c r="B66" s="33">
        <f>Plan!C57</f>
        <v/>
      </c>
      <c r="C66" s="16">
        <f>Plan!D57</f>
        <v/>
      </c>
      <c r="D66" s="16">
        <f>Plan!I57</f>
        <v/>
      </c>
      <c r="E66" s="16">
        <f>Plan!K57</f>
        <v/>
      </c>
      <c r="F66" s="16">
        <f>Plan!L57</f>
        <v/>
      </c>
      <c r="G66" s="16">
        <f>Plan!O57</f>
        <v/>
      </c>
      <c r="H66" s="34">
        <f>IF(AND(H$5&gt;$E66,H$5&lt;=$F66),IF(H$5=$E66+1,$C66,""),"")</f>
        <v/>
      </c>
      <c r="I66" s="34">
        <f>IF(AND(I$5&gt;$E66,I$5&lt;=$F66),IF(I$5=$E66+1,$C66,""),"")</f>
        <v/>
      </c>
      <c r="J66" s="34">
        <f>IF(AND(J$5&gt;$E66,J$5&lt;=$F66),IF(J$5=$E66+1,$C66,""),"")</f>
        <v/>
      </c>
      <c r="K66" s="34">
        <f>IF(AND(K$5&gt;$E66,K$5&lt;=$F66),IF(K$5=$E66+1,$C66,""),"")</f>
        <v/>
      </c>
      <c r="L66" s="34">
        <f>IF(AND(L$5&gt;$E66,L$5&lt;=$F66),IF(L$5=$E66+1,$C66,""),"")</f>
        <v/>
      </c>
      <c r="M66" s="34">
        <f>IF(AND(M$5&gt;$E66,M$5&lt;=$F66),IF(M$5=$E66+1,$C66,""),"")</f>
        <v/>
      </c>
      <c r="N66" s="34">
        <f>IF(AND(N$5&gt;$E66,N$5&lt;=$F66),IF(N$5=$E66+1,$C66,""),"")</f>
        <v/>
      </c>
      <c r="O66" s="34">
        <f>IF(AND(O$5&gt;$E66,O$5&lt;=$F66),IF(O$5=$E66+1,$C66,""),"")</f>
        <v/>
      </c>
      <c r="P66" s="34">
        <f>IF(AND(P$5&gt;$E66,P$5&lt;=$F66),IF(P$5=$E66+1,$C66,""),"")</f>
        <v/>
      </c>
      <c r="Q66" s="34">
        <f>IF(AND(Q$5&gt;$E66,Q$5&lt;=$F66),IF(Q$5=$E66+1,$C66,""),"")</f>
        <v/>
      </c>
      <c r="R66" s="34">
        <f>IF(AND(R$5&gt;$E66,R$5&lt;=$F66),IF(R$5=$E66+1,$C66,""),"")</f>
        <v/>
      </c>
      <c r="S66" s="34">
        <f>IF(AND(S$5&gt;$E66,S$5&lt;=$F66),IF(S$5=$E66+1,$C66,""),"")</f>
        <v/>
      </c>
      <c r="T66" s="34">
        <f>IF(AND(T$5&gt;$E66,T$5&lt;=$F66),IF(T$5=$E66+1,$C66,""),"")</f>
        <v/>
      </c>
      <c r="U66" s="34">
        <f>IF(AND(U$5&gt;$E66,U$5&lt;=$F66),IF(U$5=$E66+1,$C66,""),"")</f>
        <v/>
      </c>
      <c r="V66" s="34">
        <f>IF(AND(V$5&gt;$E66,V$5&lt;=$F66),IF(V$5=$E66+1,$C66,""),"")</f>
        <v/>
      </c>
      <c r="W66" s="34">
        <f>IF(AND(W$5&gt;$E66,W$5&lt;=$F66),IF(W$5=$E66+1,$C66,""),"")</f>
        <v/>
      </c>
      <c r="X66" s="34">
        <f>IF(AND(X$5&gt;$E66,X$5&lt;=$F66),IF(X$5=$E66+1,$C66,""),"")</f>
        <v/>
      </c>
      <c r="Y66" s="34">
        <f>IF(AND(Y$5&gt;$E66,Y$5&lt;=$F66),IF(Y$5=$E66+1,$C66,""),"")</f>
        <v/>
      </c>
      <c r="Z66" s="34">
        <f>IF(AND(Z$5&gt;$E66,Z$5&lt;=$F66),IF(Z$5=$E66+1,$C66,""),"")</f>
        <v/>
      </c>
      <c r="AA66" s="34">
        <f>IF(AND(AA$5&gt;$E66,AA$5&lt;=$F66),IF(AA$5=$E66+1,$C66,""),"")</f>
        <v/>
      </c>
      <c r="AB66" s="34">
        <f>IF(AND(AB$5&gt;$E66,AB$5&lt;=$F66),IF(AB$5=$E66+1,$C66,""),"")</f>
        <v/>
      </c>
      <c r="AC66" s="34">
        <f>IF(AND(AC$5&gt;$E66,AC$5&lt;=$F66),IF(AC$5=$E66+1,$C66,""),"")</f>
        <v/>
      </c>
      <c r="AD66" s="34">
        <f>IF(AND(AD$5&gt;$E66,AD$5&lt;=$F66),IF(AD$5=$E66+1,$C66,""),"")</f>
        <v/>
      </c>
      <c r="AE66" s="34">
        <f>IF(AND(AE$5&gt;$E66,AE$5&lt;=$F66),IF(AE$5=$E66+1,$C66,""),"")</f>
        <v/>
      </c>
      <c r="AF66" s="34">
        <f>IF(AND(AF$5&gt;$E66,AF$5&lt;=$F66),IF(AF$5=$E66+1,$C66,""),"")</f>
        <v/>
      </c>
      <c r="AG66" s="34">
        <f>IF(AND(AG$5&gt;$E66,AG$5&lt;=$F66),IF(AG$5=$E66+1,$C66,""),"")</f>
        <v/>
      </c>
      <c r="AH66" s="34">
        <f>IF(AND(AH$5&gt;$E66,AH$5&lt;=$F66),IF(AH$5=$E66+1,$C66,""),"")</f>
        <v/>
      </c>
      <c r="AI66" s="34">
        <f>IF(AND(AI$5&gt;$E66,AI$5&lt;=$F66),IF(AI$5=$E66+1,$C66,""),"")</f>
        <v/>
      </c>
      <c r="AJ66" s="34">
        <f>IF(AND(AJ$5&gt;$E66,AJ$5&lt;=$F66),IF(AJ$5=$E66+1,$C66,""),"")</f>
        <v/>
      </c>
      <c r="AK66" s="34">
        <f>IF(AND(AK$5&gt;$E66,AK$5&lt;=$F66),IF(AK$5=$E66+1,$C66,""),"")</f>
        <v/>
      </c>
      <c r="AL66" s="34">
        <f>IF(AND(AL$5&gt;$E66,AL$5&lt;=$F66),IF(AL$5=$E66+1,$C66,""),"")</f>
        <v/>
      </c>
      <c r="AM66" s="34">
        <f>IF(AND(AM$5&gt;$E66,AM$5&lt;=$F66),IF(AM$5=$E66+1,$C66,""),"")</f>
        <v/>
      </c>
      <c r="AN66" s="34">
        <f>IF(AND(AN$5&gt;$E66,AN$5&lt;=$F66),IF(AN$5=$E66+1,$C66,""),"")</f>
        <v/>
      </c>
      <c r="AO66" s="34">
        <f>IF(AND(AO$5&gt;$E66,AO$5&lt;=$F66),IF(AO$5=$E66+1,$C66,""),"")</f>
        <v/>
      </c>
      <c r="AP66" s="34">
        <f>IF(AND(AP$5&gt;$E66,AP$5&lt;=$F66),IF(AP$5=$E66+1,$C66,""),"")</f>
        <v/>
      </c>
      <c r="AQ66" s="34">
        <f>IF(AND(AQ$5&gt;$E66,AQ$5&lt;=$F66),IF(AQ$5=$E66+1,$C66,""),"")</f>
        <v/>
      </c>
      <c r="AR66" s="34">
        <f>IF(AND(AR$5&gt;$E66,AR$5&lt;=$F66),IF(AR$5=$E66+1,$C66,""),"")</f>
        <v/>
      </c>
      <c r="AS66" s="34">
        <f>IF(AND(AS$5&gt;$E66,AS$5&lt;=$F66),IF(AS$5=$E66+1,$C66,""),"")</f>
        <v/>
      </c>
      <c r="AT66" s="34">
        <f>IF(AND(AT$5&gt;$E66,AT$5&lt;=$F66),IF(AT$5=$E66+1,$C66,""),"")</f>
        <v/>
      </c>
      <c r="AU66" s="34">
        <f>IF(AND(AU$5&gt;$E66,AU$5&lt;=$F66),IF(AU$5=$E66+1,$C66,""),"")</f>
        <v/>
      </c>
      <c r="AV66" s="34">
        <f>IF(AND(AV$5&gt;$E66,AV$5&lt;=$F66),IF(AV$5=$E66+1,$C66,""),"")</f>
        <v/>
      </c>
      <c r="AW66" s="34">
        <f>IF(AND(AW$5&gt;$E66,AW$5&lt;=$F66),IF(AW$5=$E66+1,$C66,""),"")</f>
        <v/>
      </c>
      <c r="AX66" s="34">
        <f>IF(AND(AX$5&gt;$E66,AX$5&lt;=$F66),IF(AX$5=$E66+1,$C66,""),"")</f>
        <v/>
      </c>
      <c r="AY66" s="34">
        <f>IF(AND(AY$5&gt;$E66,AY$5&lt;=$F66),IF(AY$5=$E66+1,$C66,""),"")</f>
        <v/>
      </c>
      <c r="AZ66" s="34">
        <f>IF(AND(AZ$5&gt;$E66,AZ$5&lt;=$F66),IF(AZ$5=$E66+1,$C66,""),"")</f>
        <v/>
      </c>
      <c r="BA66" s="34">
        <f>IF(AND(BA$5&gt;$E66,BA$5&lt;=$F66),IF(BA$5=$E66+1,$C66,""),"")</f>
        <v/>
      </c>
      <c r="BB66" s="34">
        <f>IF(AND(BB$5&gt;$E66,BB$5&lt;=$F66),IF(BB$5=$E66+1,$C66,""),"")</f>
        <v/>
      </c>
      <c r="BC66" s="34">
        <f>IF(AND(BC$5&gt;$E66,BC$5&lt;=$F66),IF(BC$5=$E66+1,$C66,""),"")</f>
        <v/>
      </c>
      <c r="BD66" s="34">
        <f>IF(AND(BD$5&gt;$E66,BD$5&lt;=$F66),IF(BD$5=$E66+1,$C66,""),"")</f>
        <v/>
      </c>
      <c r="BE66" s="34">
        <f>IF(AND(BE$5&gt;$E66,BE$5&lt;=$F66),IF(BE$5=$E66+1,$C66,""),"")</f>
        <v/>
      </c>
      <c r="BF66" s="34">
        <f>IF(AND(BF$5&gt;$E66,BF$5&lt;=$F66),IF(BF$5=$E66+1,$C66,""),"")</f>
        <v/>
      </c>
      <c r="BG66" s="34">
        <f>IF(AND(BG$5&gt;$E66,BG$5&lt;=$F66),IF(BG$5=$E66+1,$C66,""),"")</f>
        <v/>
      </c>
      <c r="BH66" s="34">
        <f>IF(AND(BH$5&gt;$E66,BH$5&lt;=$F66),IF(BH$5=$E66+1,$C66,""),"")</f>
        <v/>
      </c>
      <c r="BI66" s="34">
        <f>IF(AND(BI$5&gt;$E66,BI$5&lt;=$F66),IF(BI$5=$E66+1,$C66,""),"")</f>
        <v/>
      </c>
      <c r="BJ66" s="34">
        <f>IF(AND(BJ$5&gt;$E66,BJ$5&lt;=$F66),IF(BJ$5=$E66+1,$C66,""),"")</f>
        <v/>
      </c>
      <c r="BK66" s="34">
        <f>IF(AND(BK$5&gt;$E66,BK$5&lt;=$F66),IF(BK$5=$E66+1,$C66,""),"")</f>
        <v/>
      </c>
      <c r="BL66" s="34">
        <f>IF(AND(BL$5&gt;$E66,BL$5&lt;=$F66),IF(BL$5=$E66+1,$C66,""),"")</f>
        <v/>
      </c>
      <c r="BM66" s="34">
        <f>IF(AND(BM$5&gt;$E66,BM$5&lt;=$F66),IF(BM$5=$E66+1,$C66,""),"")</f>
        <v/>
      </c>
      <c r="BN66" s="34">
        <f>IF(AND(BN$5&gt;$E66,BN$5&lt;=$F66),IF(BN$5=$E66+1,$C66,""),"")</f>
        <v/>
      </c>
      <c r="BO66" s="34">
        <f>IF(AND(BO$5&gt;$E66,BO$5&lt;=$F66),IF(BO$5=$E66+1,$C66,""),"")</f>
        <v/>
      </c>
      <c r="BP66" s="34">
        <f>IF(AND(BP$5&gt;$E66,BP$5&lt;=$F66),IF(BP$5=$E66+1,$C66,""),"")</f>
        <v/>
      </c>
      <c r="BQ66" s="34">
        <f>IF(AND(BQ$5&gt;$E66,BQ$5&lt;=$F66),IF(BQ$5=$E66+1,$C66,""),"")</f>
        <v/>
      </c>
      <c r="BR66" s="34">
        <f>IF(AND(BR$5&gt;$E66,BR$5&lt;=$F66),IF(BR$5=$E66+1,$C66,""),"")</f>
        <v/>
      </c>
      <c r="BS66" s="34">
        <f>IF(AND(BS$5&gt;$E66,BS$5&lt;=$F66),IF(BS$5=$E66+1,$C66,""),"")</f>
        <v/>
      </c>
      <c r="BT66" s="34">
        <f>IF(AND(BT$5&gt;$E66,BT$5&lt;=$F66),IF(BT$5=$E66+1,$C66,""),"")</f>
        <v/>
      </c>
      <c r="BU66" s="34">
        <f>IF(AND(BU$5&gt;$E66,BU$5&lt;=$F66),IF(BU$5=$E66+1,$C66,""),"")</f>
        <v/>
      </c>
      <c r="BV66" s="34">
        <f>IF(AND(BV$5&gt;$E66,BV$5&lt;=$F66),IF(BV$5=$E66+1,$C66,""),"")</f>
        <v/>
      </c>
      <c r="BW66" s="34">
        <f>IF(AND(BW$5&gt;$E66,BW$5&lt;=$F66),IF(BW$5=$E66+1,$C66,""),"")</f>
        <v/>
      </c>
      <c r="BX66" s="34">
        <f>IF(AND(BX$5&gt;$E66,BX$5&lt;=$F66),IF(BX$5=$E66+1,$C66,""),"")</f>
        <v/>
      </c>
      <c r="BY66" s="34">
        <f>IF(AND(BY$5&gt;$E66,BY$5&lt;=$F66),IF(BY$5=$E66+1,$C66,""),"")</f>
        <v/>
      </c>
      <c r="BZ66" s="34">
        <f>IF(AND(BZ$5&gt;$E66,BZ$5&lt;=$F66),IF(BZ$5=$E66+1,$C66,""),"")</f>
        <v/>
      </c>
      <c r="CA66" s="34">
        <f>IF(AND(CA$5&gt;$E66,CA$5&lt;=$F66),IF(CA$5=$E66+1,$C66,""),"")</f>
        <v/>
      </c>
      <c r="CB66" s="34">
        <f>IF(AND(CB$5&gt;$E66,CB$5&lt;=$F66),IF(CB$5=$E66+1,$C66,""),"")</f>
        <v/>
      </c>
      <c r="CC66" s="34">
        <f>IF(AND(CC$5&gt;$E66,CC$5&lt;=$F66),IF(CC$5=$E66+1,$C66,""),"")</f>
        <v/>
      </c>
      <c r="CD66" s="34">
        <f>IF(AND(CD$5&gt;$E66,CD$5&lt;=$F66),IF(CD$5=$E66+1,$C66,""),"")</f>
        <v/>
      </c>
      <c r="CE66" s="34">
        <f>IF(AND(CE$5&gt;$E66,CE$5&lt;=$F66),IF(CE$5=$E66+1,$C66,""),"")</f>
        <v/>
      </c>
      <c r="CF66" s="34">
        <f>IF(AND(CF$5&gt;$E66,CF$5&lt;=$F66),IF(CF$5=$E66+1,$C66,""),"")</f>
        <v/>
      </c>
      <c r="CG66" s="34">
        <f>IF(AND(CG$5&gt;$E66,CG$5&lt;=$F66),IF(CG$5=$E66+1,$C66,""),"")</f>
        <v/>
      </c>
      <c r="CH66" s="34">
        <f>IF(AND(CH$5&gt;$E66,CH$5&lt;=$F66),IF(CH$5=$E66+1,$C66,""),"")</f>
        <v/>
      </c>
      <c r="CI66" s="34">
        <f>IF(AND(CI$5&gt;$E66,CI$5&lt;=$F66),IF(CI$5=$E66+1,$C66,""),"")</f>
        <v/>
      </c>
      <c r="CJ66" s="34">
        <f>IF(AND(CJ$5&gt;$E66,CJ$5&lt;=$F66),IF(CJ$5=$E66+1,$C66,""),"")</f>
        <v/>
      </c>
      <c r="CK66" s="34">
        <f>IF(AND(CK$5&gt;$E66,CK$5&lt;=$F66),IF(CK$5=$E66+1,$C66,""),"")</f>
        <v/>
      </c>
      <c r="CL66" s="34">
        <f>IF(AND(CL$5&gt;$E66,CL$5&lt;=$F66),IF(CL$5=$E66+1,$C66,""),"")</f>
        <v/>
      </c>
      <c r="CM66" s="34">
        <f>IF(AND(CM$5&gt;$E66,CM$5&lt;=$F66),IF(CM$5=$E66+1,$C66,""),"")</f>
        <v/>
      </c>
      <c r="CN66" s="34">
        <f>IF(AND(CN$5&gt;$E66,CN$5&lt;=$F66),IF(CN$5=$E66+1,$C66,""),"")</f>
        <v/>
      </c>
      <c r="CO66" s="34">
        <f>IF(AND(CO$5&gt;$E66,CO$5&lt;=$F66),IF(CO$5=$E66+1,$C66,""),"")</f>
        <v/>
      </c>
      <c r="CP66" s="34">
        <f>IF(AND(CP$5&gt;$E66,CP$5&lt;=$F66),IF(CP$5=$E66+1,$C66,""),"")</f>
        <v/>
      </c>
      <c r="CQ66" s="34">
        <f>IF(AND(CQ$5&gt;$E66,CQ$5&lt;=$F66),IF(CQ$5=$E66+1,$C66,""),"")</f>
        <v/>
      </c>
      <c r="CR66" s="34">
        <f>IF(AND(CR$5&gt;$E66,CR$5&lt;=$F66),IF(CR$5=$E66+1,$C66,""),"")</f>
        <v/>
      </c>
      <c r="CS66" s="34">
        <f>IF(AND(CS$5&gt;$E66,CS$5&lt;=$F66),IF(CS$5=$E66+1,$C66,""),"")</f>
        <v/>
      </c>
    </row>
    <row r="67">
      <c r="A67" s="27" t="inlineStr">
        <is>
          <t>Fase 6. Pruebas y lanzamiento</t>
        </is>
      </c>
      <c r="B67" s="28" t="n"/>
      <c r="C67" s="28" t="n"/>
      <c r="D67" s="28" t="n"/>
      <c r="E67" s="29">
        <f>SUMPRODUCT(MIN((Plan!$B$5:$B$76="6. Pruebas y lanzamiento")*Plan!$K$5:$K$76+(Plan!$B$5:$B$76&lt;&gt;"6. Pruebas y lanzamiento")*1E9))</f>
        <v/>
      </c>
      <c r="F67" s="29">
        <f>SUMPRODUCT(MAX((Plan!$B$5:$B$76="6. Pruebas y lanzamiento")*Plan!$L$5:$L$76))</f>
        <v/>
      </c>
      <c r="G67" s="30">
        <f>Resumen!E34</f>
        <v/>
      </c>
      <c r="H67" s="31" t="n"/>
      <c r="I67" s="31" t="n"/>
      <c r="J67" s="31" t="n"/>
      <c r="K67" s="31" t="n"/>
      <c r="L67" s="31" t="n"/>
      <c r="M67" s="31" t="n"/>
      <c r="N67" s="31" t="n"/>
      <c r="O67" s="31" t="n"/>
      <c r="P67" s="31" t="n"/>
      <c r="Q67" s="31" t="n"/>
      <c r="R67" s="31" t="n"/>
      <c r="S67" s="31" t="n"/>
      <c r="T67" s="31" t="n"/>
      <c r="U67" s="31" t="n"/>
      <c r="V67" s="31" t="n"/>
      <c r="W67" s="31" t="n"/>
      <c r="X67" s="31" t="n"/>
      <c r="Y67" s="31" t="n"/>
      <c r="Z67" s="31" t="n"/>
      <c r="AA67" s="31" t="n"/>
      <c r="AB67" s="31" t="n"/>
      <c r="AC67" s="31" t="n"/>
      <c r="AD67" s="31" t="n"/>
      <c r="AE67" s="31" t="n"/>
      <c r="AF67" s="31" t="n"/>
      <c r="AG67" s="31" t="n"/>
      <c r="AH67" s="31" t="n"/>
      <c r="AI67" s="31" t="n"/>
      <c r="AJ67" s="31" t="n"/>
      <c r="AK67" s="31" t="n"/>
      <c r="AL67" s="31" t="n"/>
      <c r="AM67" s="31" t="n"/>
      <c r="AN67" s="31" t="n"/>
      <c r="AO67" s="31" t="n"/>
      <c r="AP67" s="31" t="n"/>
      <c r="AQ67" s="31" t="n"/>
      <c r="AR67" s="31" t="n"/>
      <c r="AS67" s="31" t="n"/>
      <c r="AT67" s="31" t="n"/>
      <c r="AU67" s="31" t="n"/>
      <c r="AV67" s="31" t="n"/>
      <c r="AW67" s="31" t="n"/>
      <c r="AX67" s="31" t="n"/>
      <c r="AY67" s="31" t="n"/>
      <c r="AZ67" s="31" t="n"/>
      <c r="BA67" s="31" t="n"/>
      <c r="BB67" s="31" t="n"/>
      <c r="BC67" s="31" t="n"/>
      <c r="BD67" s="31" t="n"/>
      <c r="BE67" s="31" t="n"/>
      <c r="BF67" s="31" t="n"/>
      <c r="BG67" s="31" t="n"/>
      <c r="BH67" s="31" t="n"/>
      <c r="BI67" s="31" t="n"/>
      <c r="BJ67" s="31" t="n"/>
      <c r="BK67" s="31" t="n"/>
      <c r="BL67" s="31" t="n"/>
      <c r="BM67" s="31" t="n"/>
      <c r="BN67" s="31" t="n"/>
      <c r="BO67" s="31" t="n"/>
      <c r="BP67" s="31" t="n"/>
      <c r="BQ67" s="31" t="n"/>
      <c r="BR67" s="31" t="n"/>
      <c r="BS67" s="31" t="n"/>
      <c r="BT67" s="31" t="n"/>
      <c r="BU67" s="31" t="n"/>
      <c r="BV67" s="31" t="n"/>
      <c r="BW67" s="31" t="n"/>
      <c r="BX67" s="31" t="n"/>
      <c r="BY67" s="31" t="n"/>
      <c r="BZ67" s="31" t="n"/>
      <c r="CA67" s="31" t="n"/>
      <c r="CB67" s="31" t="n"/>
      <c r="CC67" s="31" t="n"/>
      <c r="CD67" s="31" t="n"/>
      <c r="CE67" s="31" t="n"/>
      <c r="CF67" s="31" t="n"/>
      <c r="CG67" s="31" t="n"/>
      <c r="CH67" s="31" t="n"/>
      <c r="CI67" s="31" t="n"/>
      <c r="CJ67" s="31" t="n"/>
      <c r="CK67" s="31" t="n"/>
      <c r="CL67" s="31" t="n"/>
      <c r="CM67" s="31" t="n"/>
      <c r="CN67" s="31" t="n"/>
      <c r="CO67" s="31" t="n"/>
      <c r="CP67" s="31" t="n"/>
      <c r="CQ67" s="31" t="n"/>
      <c r="CR67" s="31" t="n"/>
      <c r="CS67" s="31" t="n"/>
    </row>
    <row r="68">
      <c r="A68" s="32">
        <f>Plan!A58</f>
        <v/>
      </c>
      <c r="B68" s="33">
        <f>Plan!C58</f>
        <v/>
      </c>
      <c r="C68" s="16">
        <f>Plan!D58</f>
        <v/>
      </c>
      <c r="D68" s="16">
        <f>Plan!I58</f>
        <v/>
      </c>
      <c r="E68" s="16">
        <f>Plan!K58</f>
        <v/>
      </c>
      <c r="F68" s="16">
        <f>Plan!L58</f>
        <v/>
      </c>
      <c r="G68" s="16">
        <f>Plan!O58</f>
        <v/>
      </c>
      <c r="H68" s="34">
        <f>IF(AND(H$5&gt;$E68,H$5&lt;=$F68),IF(H$5=$E68+1,$C68,""),"")</f>
        <v/>
      </c>
      <c r="I68" s="34">
        <f>IF(AND(I$5&gt;$E68,I$5&lt;=$F68),IF(I$5=$E68+1,$C68,""),"")</f>
        <v/>
      </c>
      <c r="J68" s="34">
        <f>IF(AND(J$5&gt;$E68,J$5&lt;=$F68),IF(J$5=$E68+1,$C68,""),"")</f>
        <v/>
      </c>
      <c r="K68" s="34">
        <f>IF(AND(K$5&gt;$E68,K$5&lt;=$F68),IF(K$5=$E68+1,$C68,""),"")</f>
        <v/>
      </c>
      <c r="L68" s="34">
        <f>IF(AND(L$5&gt;$E68,L$5&lt;=$F68),IF(L$5=$E68+1,$C68,""),"")</f>
        <v/>
      </c>
      <c r="M68" s="34">
        <f>IF(AND(M$5&gt;$E68,M$5&lt;=$F68),IF(M$5=$E68+1,$C68,""),"")</f>
        <v/>
      </c>
      <c r="N68" s="34">
        <f>IF(AND(N$5&gt;$E68,N$5&lt;=$F68),IF(N$5=$E68+1,$C68,""),"")</f>
        <v/>
      </c>
      <c r="O68" s="34">
        <f>IF(AND(O$5&gt;$E68,O$5&lt;=$F68),IF(O$5=$E68+1,$C68,""),"")</f>
        <v/>
      </c>
      <c r="P68" s="34">
        <f>IF(AND(P$5&gt;$E68,P$5&lt;=$F68),IF(P$5=$E68+1,$C68,""),"")</f>
        <v/>
      </c>
      <c r="Q68" s="34">
        <f>IF(AND(Q$5&gt;$E68,Q$5&lt;=$F68),IF(Q$5=$E68+1,$C68,""),"")</f>
        <v/>
      </c>
      <c r="R68" s="34">
        <f>IF(AND(R$5&gt;$E68,R$5&lt;=$F68),IF(R$5=$E68+1,$C68,""),"")</f>
        <v/>
      </c>
      <c r="S68" s="34">
        <f>IF(AND(S$5&gt;$E68,S$5&lt;=$F68),IF(S$5=$E68+1,$C68,""),"")</f>
        <v/>
      </c>
      <c r="T68" s="34">
        <f>IF(AND(T$5&gt;$E68,T$5&lt;=$F68),IF(T$5=$E68+1,$C68,""),"")</f>
        <v/>
      </c>
      <c r="U68" s="34">
        <f>IF(AND(U$5&gt;$E68,U$5&lt;=$F68),IF(U$5=$E68+1,$C68,""),"")</f>
        <v/>
      </c>
      <c r="V68" s="34">
        <f>IF(AND(V$5&gt;$E68,V$5&lt;=$F68),IF(V$5=$E68+1,$C68,""),"")</f>
        <v/>
      </c>
      <c r="W68" s="34">
        <f>IF(AND(W$5&gt;$E68,W$5&lt;=$F68),IF(W$5=$E68+1,$C68,""),"")</f>
        <v/>
      </c>
      <c r="X68" s="34">
        <f>IF(AND(X$5&gt;$E68,X$5&lt;=$F68),IF(X$5=$E68+1,$C68,""),"")</f>
        <v/>
      </c>
      <c r="Y68" s="34">
        <f>IF(AND(Y$5&gt;$E68,Y$5&lt;=$F68),IF(Y$5=$E68+1,$C68,""),"")</f>
        <v/>
      </c>
      <c r="Z68" s="34">
        <f>IF(AND(Z$5&gt;$E68,Z$5&lt;=$F68),IF(Z$5=$E68+1,$C68,""),"")</f>
        <v/>
      </c>
      <c r="AA68" s="34">
        <f>IF(AND(AA$5&gt;$E68,AA$5&lt;=$F68),IF(AA$5=$E68+1,$C68,""),"")</f>
        <v/>
      </c>
      <c r="AB68" s="34">
        <f>IF(AND(AB$5&gt;$E68,AB$5&lt;=$F68),IF(AB$5=$E68+1,$C68,""),"")</f>
        <v/>
      </c>
      <c r="AC68" s="34">
        <f>IF(AND(AC$5&gt;$E68,AC$5&lt;=$F68),IF(AC$5=$E68+1,$C68,""),"")</f>
        <v/>
      </c>
      <c r="AD68" s="34">
        <f>IF(AND(AD$5&gt;$E68,AD$5&lt;=$F68),IF(AD$5=$E68+1,$C68,""),"")</f>
        <v/>
      </c>
      <c r="AE68" s="34">
        <f>IF(AND(AE$5&gt;$E68,AE$5&lt;=$F68),IF(AE$5=$E68+1,$C68,""),"")</f>
        <v/>
      </c>
      <c r="AF68" s="34">
        <f>IF(AND(AF$5&gt;$E68,AF$5&lt;=$F68),IF(AF$5=$E68+1,$C68,""),"")</f>
        <v/>
      </c>
      <c r="AG68" s="34">
        <f>IF(AND(AG$5&gt;$E68,AG$5&lt;=$F68),IF(AG$5=$E68+1,$C68,""),"")</f>
        <v/>
      </c>
      <c r="AH68" s="34">
        <f>IF(AND(AH$5&gt;$E68,AH$5&lt;=$F68),IF(AH$5=$E68+1,$C68,""),"")</f>
        <v/>
      </c>
      <c r="AI68" s="34">
        <f>IF(AND(AI$5&gt;$E68,AI$5&lt;=$F68),IF(AI$5=$E68+1,$C68,""),"")</f>
        <v/>
      </c>
      <c r="AJ68" s="34">
        <f>IF(AND(AJ$5&gt;$E68,AJ$5&lt;=$F68),IF(AJ$5=$E68+1,$C68,""),"")</f>
        <v/>
      </c>
      <c r="AK68" s="34">
        <f>IF(AND(AK$5&gt;$E68,AK$5&lt;=$F68),IF(AK$5=$E68+1,$C68,""),"")</f>
        <v/>
      </c>
      <c r="AL68" s="34">
        <f>IF(AND(AL$5&gt;$E68,AL$5&lt;=$F68),IF(AL$5=$E68+1,$C68,""),"")</f>
        <v/>
      </c>
      <c r="AM68" s="34">
        <f>IF(AND(AM$5&gt;$E68,AM$5&lt;=$F68),IF(AM$5=$E68+1,$C68,""),"")</f>
        <v/>
      </c>
      <c r="AN68" s="34">
        <f>IF(AND(AN$5&gt;$E68,AN$5&lt;=$F68),IF(AN$5=$E68+1,$C68,""),"")</f>
        <v/>
      </c>
      <c r="AO68" s="34">
        <f>IF(AND(AO$5&gt;$E68,AO$5&lt;=$F68),IF(AO$5=$E68+1,$C68,""),"")</f>
        <v/>
      </c>
      <c r="AP68" s="34">
        <f>IF(AND(AP$5&gt;$E68,AP$5&lt;=$F68),IF(AP$5=$E68+1,$C68,""),"")</f>
        <v/>
      </c>
      <c r="AQ68" s="34">
        <f>IF(AND(AQ$5&gt;$E68,AQ$5&lt;=$F68),IF(AQ$5=$E68+1,$C68,""),"")</f>
        <v/>
      </c>
      <c r="AR68" s="34">
        <f>IF(AND(AR$5&gt;$E68,AR$5&lt;=$F68),IF(AR$5=$E68+1,$C68,""),"")</f>
        <v/>
      </c>
      <c r="AS68" s="34">
        <f>IF(AND(AS$5&gt;$E68,AS$5&lt;=$F68),IF(AS$5=$E68+1,$C68,""),"")</f>
        <v/>
      </c>
      <c r="AT68" s="34">
        <f>IF(AND(AT$5&gt;$E68,AT$5&lt;=$F68),IF(AT$5=$E68+1,$C68,""),"")</f>
        <v/>
      </c>
      <c r="AU68" s="34">
        <f>IF(AND(AU$5&gt;$E68,AU$5&lt;=$F68),IF(AU$5=$E68+1,$C68,""),"")</f>
        <v/>
      </c>
      <c r="AV68" s="34">
        <f>IF(AND(AV$5&gt;$E68,AV$5&lt;=$F68),IF(AV$5=$E68+1,$C68,""),"")</f>
        <v/>
      </c>
      <c r="AW68" s="34">
        <f>IF(AND(AW$5&gt;$E68,AW$5&lt;=$F68),IF(AW$5=$E68+1,$C68,""),"")</f>
        <v/>
      </c>
      <c r="AX68" s="34">
        <f>IF(AND(AX$5&gt;$E68,AX$5&lt;=$F68),IF(AX$5=$E68+1,$C68,""),"")</f>
        <v/>
      </c>
      <c r="AY68" s="34">
        <f>IF(AND(AY$5&gt;$E68,AY$5&lt;=$F68),IF(AY$5=$E68+1,$C68,""),"")</f>
        <v/>
      </c>
      <c r="AZ68" s="34">
        <f>IF(AND(AZ$5&gt;$E68,AZ$5&lt;=$F68),IF(AZ$5=$E68+1,$C68,""),"")</f>
        <v/>
      </c>
      <c r="BA68" s="34">
        <f>IF(AND(BA$5&gt;$E68,BA$5&lt;=$F68),IF(BA$5=$E68+1,$C68,""),"")</f>
        <v/>
      </c>
      <c r="BB68" s="34">
        <f>IF(AND(BB$5&gt;$E68,BB$5&lt;=$F68),IF(BB$5=$E68+1,$C68,""),"")</f>
        <v/>
      </c>
      <c r="BC68" s="34">
        <f>IF(AND(BC$5&gt;$E68,BC$5&lt;=$F68),IF(BC$5=$E68+1,$C68,""),"")</f>
        <v/>
      </c>
      <c r="BD68" s="34">
        <f>IF(AND(BD$5&gt;$E68,BD$5&lt;=$F68),IF(BD$5=$E68+1,$C68,""),"")</f>
        <v/>
      </c>
      <c r="BE68" s="34">
        <f>IF(AND(BE$5&gt;$E68,BE$5&lt;=$F68),IF(BE$5=$E68+1,$C68,""),"")</f>
        <v/>
      </c>
      <c r="BF68" s="34">
        <f>IF(AND(BF$5&gt;$E68,BF$5&lt;=$F68),IF(BF$5=$E68+1,$C68,""),"")</f>
        <v/>
      </c>
      <c r="BG68" s="34">
        <f>IF(AND(BG$5&gt;$E68,BG$5&lt;=$F68),IF(BG$5=$E68+1,$C68,""),"")</f>
        <v/>
      </c>
      <c r="BH68" s="34">
        <f>IF(AND(BH$5&gt;$E68,BH$5&lt;=$F68),IF(BH$5=$E68+1,$C68,""),"")</f>
        <v/>
      </c>
      <c r="BI68" s="34">
        <f>IF(AND(BI$5&gt;$E68,BI$5&lt;=$F68),IF(BI$5=$E68+1,$C68,""),"")</f>
        <v/>
      </c>
      <c r="BJ68" s="34">
        <f>IF(AND(BJ$5&gt;$E68,BJ$5&lt;=$F68),IF(BJ$5=$E68+1,$C68,""),"")</f>
        <v/>
      </c>
      <c r="BK68" s="34">
        <f>IF(AND(BK$5&gt;$E68,BK$5&lt;=$F68),IF(BK$5=$E68+1,$C68,""),"")</f>
        <v/>
      </c>
      <c r="BL68" s="34">
        <f>IF(AND(BL$5&gt;$E68,BL$5&lt;=$F68),IF(BL$5=$E68+1,$C68,""),"")</f>
        <v/>
      </c>
      <c r="BM68" s="34">
        <f>IF(AND(BM$5&gt;$E68,BM$5&lt;=$F68),IF(BM$5=$E68+1,$C68,""),"")</f>
        <v/>
      </c>
      <c r="BN68" s="34">
        <f>IF(AND(BN$5&gt;$E68,BN$5&lt;=$F68),IF(BN$5=$E68+1,$C68,""),"")</f>
        <v/>
      </c>
      <c r="BO68" s="34">
        <f>IF(AND(BO$5&gt;$E68,BO$5&lt;=$F68),IF(BO$5=$E68+1,$C68,""),"")</f>
        <v/>
      </c>
      <c r="BP68" s="34">
        <f>IF(AND(BP$5&gt;$E68,BP$5&lt;=$F68),IF(BP$5=$E68+1,$C68,""),"")</f>
        <v/>
      </c>
      <c r="BQ68" s="34">
        <f>IF(AND(BQ$5&gt;$E68,BQ$5&lt;=$F68),IF(BQ$5=$E68+1,$C68,""),"")</f>
        <v/>
      </c>
      <c r="BR68" s="34">
        <f>IF(AND(BR$5&gt;$E68,BR$5&lt;=$F68),IF(BR$5=$E68+1,$C68,""),"")</f>
        <v/>
      </c>
      <c r="BS68" s="34">
        <f>IF(AND(BS$5&gt;$E68,BS$5&lt;=$F68),IF(BS$5=$E68+1,$C68,""),"")</f>
        <v/>
      </c>
      <c r="BT68" s="34">
        <f>IF(AND(BT$5&gt;$E68,BT$5&lt;=$F68),IF(BT$5=$E68+1,$C68,""),"")</f>
        <v/>
      </c>
      <c r="BU68" s="34">
        <f>IF(AND(BU$5&gt;$E68,BU$5&lt;=$F68),IF(BU$5=$E68+1,$C68,""),"")</f>
        <v/>
      </c>
      <c r="BV68" s="34">
        <f>IF(AND(BV$5&gt;$E68,BV$5&lt;=$F68),IF(BV$5=$E68+1,$C68,""),"")</f>
        <v/>
      </c>
      <c r="BW68" s="34">
        <f>IF(AND(BW$5&gt;$E68,BW$5&lt;=$F68),IF(BW$5=$E68+1,$C68,""),"")</f>
        <v/>
      </c>
      <c r="BX68" s="34">
        <f>IF(AND(BX$5&gt;$E68,BX$5&lt;=$F68),IF(BX$5=$E68+1,$C68,""),"")</f>
        <v/>
      </c>
      <c r="BY68" s="34">
        <f>IF(AND(BY$5&gt;$E68,BY$5&lt;=$F68),IF(BY$5=$E68+1,$C68,""),"")</f>
        <v/>
      </c>
      <c r="BZ68" s="34">
        <f>IF(AND(BZ$5&gt;$E68,BZ$5&lt;=$F68),IF(BZ$5=$E68+1,$C68,""),"")</f>
        <v/>
      </c>
      <c r="CA68" s="34">
        <f>IF(AND(CA$5&gt;$E68,CA$5&lt;=$F68),IF(CA$5=$E68+1,$C68,""),"")</f>
        <v/>
      </c>
      <c r="CB68" s="34">
        <f>IF(AND(CB$5&gt;$E68,CB$5&lt;=$F68),IF(CB$5=$E68+1,$C68,""),"")</f>
        <v/>
      </c>
      <c r="CC68" s="34">
        <f>IF(AND(CC$5&gt;$E68,CC$5&lt;=$F68),IF(CC$5=$E68+1,$C68,""),"")</f>
        <v/>
      </c>
      <c r="CD68" s="34">
        <f>IF(AND(CD$5&gt;$E68,CD$5&lt;=$F68),IF(CD$5=$E68+1,$C68,""),"")</f>
        <v/>
      </c>
      <c r="CE68" s="34">
        <f>IF(AND(CE$5&gt;$E68,CE$5&lt;=$F68),IF(CE$5=$E68+1,$C68,""),"")</f>
        <v/>
      </c>
      <c r="CF68" s="34">
        <f>IF(AND(CF$5&gt;$E68,CF$5&lt;=$F68),IF(CF$5=$E68+1,$C68,""),"")</f>
        <v/>
      </c>
      <c r="CG68" s="34">
        <f>IF(AND(CG$5&gt;$E68,CG$5&lt;=$F68),IF(CG$5=$E68+1,$C68,""),"")</f>
        <v/>
      </c>
      <c r="CH68" s="34">
        <f>IF(AND(CH$5&gt;$E68,CH$5&lt;=$F68),IF(CH$5=$E68+1,$C68,""),"")</f>
        <v/>
      </c>
      <c r="CI68" s="34">
        <f>IF(AND(CI$5&gt;$E68,CI$5&lt;=$F68),IF(CI$5=$E68+1,$C68,""),"")</f>
        <v/>
      </c>
      <c r="CJ68" s="34">
        <f>IF(AND(CJ$5&gt;$E68,CJ$5&lt;=$F68),IF(CJ$5=$E68+1,$C68,""),"")</f>
        <v/>
      </c>
      <c r="CK68" s="34">
        <f>IF(AND(CK$5&gt;$E68,CK$5&lt;=$F68),IF(CK$5=$E68+1,$C68,""),"")</f>
        <v/>
      </c>
      <c r="CL68" s="34">
        <f>IF(AND(CL$5&gt;$E68,CL$5&lt;=$F68),IF(CL$5=$E68+1,$C68,""),"")</f>
        <v/>
      </c>
      <c r="CM68" s="34">
        <f>IF(AND(CM$5&gt;$E68,CM$5&lt;=$F68),IF(CM$5=$E68+1,$C68,""),"")</f>
        <v/>
      </c>
      <c r="CN68" s="34">
        <f>IF(AND(CN$5&gt;$E68,CN$5&lt;=$F68),IF(CN$5=$E68+1,$C68,""),"")</f>
        <v/>
      </c>
      <c r="CO68" s="34">
        <f>IF(AND(CO$5&gt;$E68,CO$5&lt;=$F68),IF(CO$5=$E68+1,$C68,""),"")</f>
        <v/>
      </c>
      <c r="CP68" s="34">
        <f>IF(AND(CP$5&gt;$E68,CP$5&lt;=$F68),IF(CP$5=$E68+1,$C68,""),"")</f>
        <v/>
      </c>
      <c r="CQ68" s="34">
        <f>IF(AND(CQ$5&gt;$E68,CQ$5&lt;=$F68),IF(CQ$5=$E68+1,$C68,""),"")</f>
        <v/>
      </c>
      <c r="CR68" s="34">
        <f>IF(AND(CR$5&gt;$E68,CR$5&lt;=$F68),IF(CR$5=$E68+1,$C68,""),"")</f>
        <v/>
      </c>
      <c r="CS68" s="34">
        <f>IF(AND(CS$5&gt;$E68,CS$5&lt;=$F68),IF(CS$5=$E68+1,$C68,""),"")</f>
        <v/>
      </c>
    </row>
    <row r="69">
      <c r="A69" s="32">
        <f>Plan!A59</f>
        <v/>
      </c>
      <c r="B69" s="33">
        <f>Plan!C59</f>
        <v/>
      </c>
      <c r="C69" s="16">
        <f>Plan!D59</f>
        <v/>
      </c>
      <c r="D69" s="16">
        <f>Plan!I59</f>
        <v/>
      </c>
      <c r="E69" s="16">
        <f>Plan!K59</f>
        <v/>
      </c>
      <c r="F69" s="16">
        <f>Plan!L59</f>
        <v/>
      </c>
      <c r="G69" s="16">
        <f>Plan!O59</f>
        <v/>
      </c>
      <c r="H69" s="34">
        <f>IF(AND(H$5&gt;$E69,H$5&lt;=$F69),IF(H$5=$E69+1,$C69,""),"")</f>
        <v/>
      </c>
      <c r="I69" s="34">
        <f>IF(AND(I$5&gt;$E69,I$5&lt;=$F69),IF(I$5=$E69+1,$C69,""),"")</f>
        <v/>
      </c>
      <c r="J69" s="34">
        <f>IF(AND(J$5&gt;$E69,J$5&lt;=$F69),IF(J$5=$E69+1,$C69,""),"")</f>
        <v/>
      </c>
      <c r="K69" s="34">
        <f>IF(AND(K$5&gt;$E69,K$5&lt;=$F69),IF(K$5=$E69+1,$C69,""),"")</f>
        <v/>
      </c>
      <c r="L69" s="34">
        <f>IF(AND(L$5&gt;$E69,L$5&lt;=$F69),IF(L$5=$E69+1,$C69,""),"")</f>
        <v/>
      </c>
      <c r="M69" s="34">
        <f>IF(AND(M$5&gt;$E69,M$5&lt;=$F69),IF(M$5=$E69+1,$C69,""),"")</f>
        <v/>
      </c>
      <c r="N69" s="34">
        <f>IF(AND(N$5&gt;$E69,N$5&lt;=$F69),IF(N$5=$E69+1,$C69,""),"")</f>
        <v/>
      </c>
      <c r="O69" s="34">
        <f>IF(AND(O$5&gt;$E69,O$5&lt;=$F69),IF(O$5=$E69+1,$C69,""),"")</f>
        <v/>
      </c>
      <c r="P69" s="34">
        <f>IF(AND(P$5&gt;$E69,P$5&lt;=$F69),IF(P$5=$E69+1,$C69,""),"")</f>
        <v/>
      </c>
      <c r="Q69" s="34">
        <f>IF(AND(Q$5&gt;$E69,Q$5&lt;=$F69),IF(Q$5=$E69+1,$C69,""),"")</f>
        <v/>
      </c>
      <c r="R69" s="34">
        <f>IF(AND(R$5&gt;$E69,R$5&lt;=$F69),IF(R$5=$E69+1,$C69,""),"")</f>
        <v/>
      </c>
      <c r="S69" s="34">
        <f>IF(AND(S$5&gt;$E69,S$5&lt;=$F69),IF(S$5=$E69+1,$C69,""),"")</f>
        <v/>
      </c>
      <c r="T69" s="34">
        <f>IF(AND(T$5&gt;$E69,T$5&lt;=$F69),IF(T$5=$E69+1,$C69,""),"")</f>
        <v/>
      </c>
      <c r="U69" s="34">
        <f>IF(AND(U$5&gt;$E69,U$5&lt;=$F69),IF(U$5=$E69+1,$C69,""),"")</f>
        <v/>
      </c>
      <c r="V69" s="34">
        <f>IF(AND(V$5&gt;$E69,V$5&lt;=$F69),IF(V$5=$E69+1,$C69,""),"")</f>
        <v/>
      </c>
      <c r="W69" s="34">
        <f>IF(AND(W$5&gt;$E69,W$5&lt;=$F69),IF(W$5=$E69+1,$C69,""),"")</f>
        <v/>
      </c>
      <c r="X69" s="34">
        <f>IF(AND(X$5&gt;$E69,X$5&lt;=$F69),IF(X$5=$E69+1,$C69,""),"")</f>
        <v/>
      </c>
      <c r="Y69" s="34">
        <f>IF(AND(Y$5&gt;$E69,Y$5&lt;=$F69),IF(Y$5=$E69+1,$C69,""),"")</f>
        <v/>
      </c>
      <c r="Z69" s="34">
        <f>IF(AND(Z$5&gt;$E69,Z$5&lt;=$F69),IF(Z$5=$E69+1,$C69,""),"")</f>
        <v/>
      </c>
      <c r="AA69" s="34">
        <f>IF(AND(AA$5&gt;$E69,AA$5&lt;=$F69),IF(AA$5=$E69+1,$C69,""),"")</f>
        <v/>
      </c>
      <c r="AB69" s="34">
        <f>IF(AND(AB$5&gt;$E69,AB$5&lt;=$F69),IF(AB$5=$E69+1,$C69,""),"")</f>
        <v/>
      </c>
      <c r="AC69" s="34">
        <f>IF(AND(AC$5&gt;$E69,AC$5&lt;=$F69),IF(AC$5=$E69+1,$C69,""),"")</f>
        <v/>
      </c>
      <c r="AD69" s="34">
        <f>IF(AND(AD$5&gt;$E69,AD$5&lt;=$F69),IF(AD$5=$E69+1,$C69,""),"")</f>
        <v/>
      </c>
      <c r="AE69" s="34">
        <f>IF(AND(AE$5&gt;$E69,AE$5&lt;=$F69),IF(AE$5=$E69+1,$C69,""),"")</f>
        <v/>
      </c>
      <c r="AF69" s="34">
        <f>IF(AND(AF$5&gt;$E69,AF$5&lt;=$F69),IF(AF$5=$E69+1,$C69,""),"")</f>
        <v/>
      </c>
      <c r="AG69" s="34">
        <f>IF(AND(AG$5&gt;$E69,AG$5&lt;=$F69),IF(AG$5=$E69+1,$C69,""),"")</f>
        <v/>
      </c>
      <c r="AH69" s="34">
        <f>IF(AND(AH$5&gt;$E69,AH$5&lt;=$F69),IF(AH$5=$E69+1,$C69,""),"")</f>
        <v/>
      </c>
      <c r="AI69" s="34">
        <f>IF(AND(AI$5&gt;$E69,AI$5&lt;=$F69),IF(AI$5=$E69+1,$C69,""),"")</f>
        <v/>
      </c>
      <c r="AJ69" s="34">
        <f>IF(AND(AJ$5&gt;$E69,AJ$5&lt;=$F69),IF(AJ$5=$E69+1,$C69,""),"")</f>
        <v/>
      </c>
      <c r="AK69" s="34">
        <f>IF(AND(AK$5&gt;$E69,AK$5&lt;=$F69),IF(AK$5=$E69+1,$C69,""),"")</f>
        <v/>
      </c>
      <c r="AL69" s="34">
        <f>IF(AND(AL$5&gt;$E69,AL$5&lt;=$F69),IF(AL$5=$E69+1,$C69,""),"")</f>
        <v/>
      </c>
      <c r="AM69" s="34">
        <f>IF(AND(AM$5&gt;$E69,AM$5&lt;=$F69),IF(AM$5=$E69+1,$C69,""),"")</f>
        <v/>
      </c>
      <c r="AN69" s="34">
        <f>IF(AND(AN$5&gt;$E69,AN$5&lt;=$F69),IF(AN$5=$E69+1,$C69,""),"")</f>
        <v/>
      </c>
      <c r="AO69" s="34">
        <f>IF(AND(AO$5&gt;$E69,AO$5&lt;=$F69),IF(AO$5=$E69+1,$C69,""),"")</f>
        <v/>
      </c>
      <c r="AP69" s="34">
        <f>IF(AND(AP$5&gt;$E69,AP$5&lt;=$F69),IF(AP$5=$E69+1,$C69,""),"")</f>
        <v/>
      </c>
      <c r="AQ69" s="34">
        <f>IF(AND(AQ$5&gt;$E69,AQ$5&lt;=$F69),IF(AQ$5=$E69+1,$C69,""),"")</f>
        <v/>
      </c>
      <c r="AR69" s="34">
        <f>IF(AND(AR$5&gt;$E69,AR$5&lt;=$F69),IF(AR$5=$E69+1,$C69,""),"")</f>
        <v/>
      </c>
      <c r="AS69" s="34">
        <f>IF(AND(AS$5&gt;$E69,AS$5&lt;=$F69),IF(AS$5=$E69+1,$C69,""),"")</f>
        <v/>
      </c>
      <c r="AT69" s="34">
        <f>IF(AND(AT$5&gt;$E69,AT$5&lt;=$F69),IF(AT$5=$E69+1,$C69,""),"")</f>
        <v/>
      </c>
      <c r="AU69" s="34">
        <f>IF(AND(AU$5&gt;$E69,AU$5&lt;=$F69),IF(AU$5=$E69+1,$C69,""),"")</f>
        <v/>
      </c>
      <c r="AV69" s="34">
        <f>IF(AND(AV$5&gt;$E69,AV$5&lt;=$F69),IF(AV$5=$E69+1,$C69,""),"")</f>
        <v/>
      </c>
      <c r="AW69" s="34">
        <f>IF(AND(AW$5&gt;$E69,AW$5&lt;=$F69),IF(AW$5=$E69+1,$C69,""),"")</f>
        <v/>
      </c>
      <c r="AX69" s="34">
        <f>IF(AND(AX$5&gt;$E69,AX$5&lt;=$F69),IF(AX$5=$E69+1,$C69,""),"")</f>
        <v/>
      </c>
      <c r="AY69" s="34">
        <f>IF(AND(AY$5&gt;$E69,AY$5&lt;=$F69),IF(AY$5=$E69+1,$C69,""),"")</f>
        <v/>
      </c>
      <c r="AZ69" s="34">
        <f>IF(AND(AZ$5&gt;$E69,AZ$5&lt;=$F69),IF(AZ$5=$E69+1,$C69,""),"")</f>
        <v/>
      </c>
      <c r="BA69" s="34">
        <f>IF(AND(BA$5&gt;$E69,BA$5&lt;=$F69),IF(BA$5=$E69+1,$C69,""),"")</f>
        <v/>
      </c>
      <c r="BB69" s="34">
        <f>IF(AND(BB$5&gt;$E69,BB$5&lt;=$F69),IF(BB$5=$E69+1,$C69,""),"")</f>
        <v/>
      </c>
      <c r="BC69" s="34">
        <f>IF(AND(BC$5&gt;$E69,BC$5&lt;=$F69),IF(BC$5=$E69+1,$C69,""),"")</f>
        <v/>
      </c>
      <c r="BD69" s="34">
        <f>IF(AND(BD$5&gt;$E69,BD$5&lt;=$F69),IF(BD$5=$E69+1,$C69,""),"")</f>
        <v/>
      </c>
      <c r="BE69" s="34">
        <f>IF(AND(BE$5&gt;$E69,BE$5&lt;=$F69),IF(BE$5=$E69+1,$C69,""),"")</f>
        <v/>
      </c>
      <c r="BF69" s="34">
        <f>IF(AND(BF$5&gt;$E69,BF$5&lt;=$F69),IF(BF$5=$E69+1,$C69,""),"")</f>
        <v/>
      </c>
      <c r="BG69" s="34">
        <f>IF(AND(BG$5&gt;$E69,BG$5&lt;=$F69),IF(BG$5=$E69+1,$C69,""),"")</f>
        <v/>
      </c>
      <c r="BH69" s="34">
        <f>IF(AND(BH$5&gt;$E69,BH$5&lt;=$F69),IF(BH$5=$E69+1,$C69,""),"")</f>
        <v/>
      </c>
      <c r="BI69" s="34">
        <f>IF(AND(BI$5&gt;$E69,BI$5&lt;=$F69),IF(BI$5=$E69+1,$C69,""),"")</f>
        <v/>
      </c>
      <c r="BJ69" s="34">
        <f>IF(AND(BJ$5&gt;$E69,BJ$5&lt;=$F69),IF(BJ$5=$E69+1,$C69,""),"")</f>
        <v/>
      </c>
      <c r="BK69" s="34">
        <f>IF(AND(BK$5&gt;$E69,BK$5&lt;=$F69),IF(BK$5=$E69+1,$C69,""),"")</f>
        <v/>
      </c>
      <c r="BL69" s="34">
        <f>IF(AND(BL$5&gt;$E69,BL$5&lt;=$F69),IF(BL$5=$E69+1,$C69,""),"")</f>
        <v/>
      </c>
      <c r="BM69" s="34">
        <f>IF(AND(BM$5&gt;$E69,BM$5&lt;=$F69),IF(BM$5=$E69+1,$C69,""),"")</f>
        <v/>
      </c>
      <c r="BN69" s="34">
        <f>IF(AND(BN$5&gt;$E69,BN$5&lt;=$F69),IF(BN$5=$E69+1,$C69,""),"")</f>
        <v/>
      </c>
      <c r="BO69" s="34">
        <f>IF(AND(BO$5&gt;$E69,BO$5&lt;=$F69),IF(BO$5=$E69+1,$C69,""),"")</f>
        <v/>
      </c>
      <c r="BP69" s="34">
        <f>IF(AND(BP$5&gt;$E69,BP$5&lt;=$F69),IF(BP$5=$E69+1,$C69,""),"")</f>
        <v/>
      </c>
      <c r="BQ69" s="34">
        <f>IF(AND(BQ$5&gt;$E69,BQ$5&lt;=$F69),IF(BQ$5=$E69+1,$C69,""),"")</f>
        <v/>
      </c>
      <c r="BR69" s="34">
        <f>IF(AND(BR$5&gt;$E69,BR$5&lt;=$F69),IF(BR$5=$E69+1,$C69,""),"")</f>
        <v/>
      </c>
      <c r="BS69" s="34">
        <f>IF(AND(BS$5&gt;$E69,BS$5&lt;=$F69),IF(BS$5=$E69+1,$C69,""),"")</f>
        <v/>
      </c>
      <c r="BT69" s="34">
        <f>IF(AND(BT$5&gt;$E69,BT$5&lt;=$F69),IF(BT$5=$E69+1,$C69,""),"")</f>
        <v/>
      </c>
      <c r="BU69" s="34">
        <f>IF(AND(BU$5&gt;$E69,BU$5&lt;=$F69),IF(BU$5=$E69+1,$C69,""),"")</f>
        <v/>
      </c>
      <c r="BV69" s="34">
        <f>IF(AND(BV$5&gt;$E69,BV$5&lt;=$F69),IF(BV$5=$E69+1,$C69,""),"")</f>
        <v/>
      </c>
      <c r="BW69" s="34">
        <f>IF(AND(BW$5&gt;$E69,BW$5&lt;=$F69),IF(BW$5=$E69+1,$C69,""),"")</f>
        <v/>
      </c>
      <c r="BX69" s="34">
        <f>IF(AND(BX$5&gt;$E69,BX$5&lt;=$F69),IF(BX$5=$E69+1,$C69,""),"")</f>
        <v/>
      </c>
      <c r="BY69" s="34">
        <f>IF(AND(BY$5&gt;$E69,BY$5&lt;=$F69),IF(BY$5=$E69+1,$C69,""),"")</f>
        <v/>
      </c>
      <c r="BZ69" s="34">
        <f>IF(AND(BZ$5&gt;$E69,BZ$5&lt;=$F69),IF(BZ$5=$E69+1,$C69,""),"")</f>
        <v/>
      </c>
      <c r="CA69" s="34">
        <f>IF(AND(CA$5&gt;$E69,CA$5&lt;=$F69),IF(CA$5=$E69+1,$C69,""),"")</f>
        <v/>
      </c>
      <c r="CB69" s="34">
        <f>IF(AND(CB$5&gt;$E69,CB$5&lt;=$F69),IF(CB$5=$E69+1,$C69,""),"")</f>
        <v/>
      </c>
      <c r="CC69" s="34">
        <f>IF(AND(CC$5&gt;$E69,CC$5&lt;=$F69),IF(CC$5=$E69+1,$C69,""),"")</f>
        <v/>
      </c>
      <c r="CD69" s="34">
        <f>IF(AND(CD$5&gt;$E69,CD$5&lt;=$F69),IF(CD$5=$E69+1,$C69,""),"")</f>
        <v/>
      </c>
      <c r="CE69" s="34">
        <f>IF(AND(CE$5&gt;$E69,CE$5&lt;=$F69),IF(CE$5=$E69+1,$C69,""),"")</f>
        <v/>
      </c>
      <c r="CF69" s="34">
        <f>IF(AND(CF$5&gt;$E69,CF$5&lt;=$F69),IF(CF$5=$E69+1,$C69,""),"")</f>
        <v/>
      </c>
      <c r="CG69" s="34">
        <f>IF(AND(CG$5&gt;$E69,CG$5&lt;=$F69),IF(CG$5=$E69+1,$C69,""),"")</f>
        <v/>
      </c>
      <c r="CH69" s="34">
        <f>IF(AND(CH$5&gt;$E69,CH$5&lt;=$F69),IF(CH$5=$E69+1,$C69,""),"")</f>
        <v/>
      </c>
      <c r="CI69" s="34">
        <f>IF(AND(CI$5&gt;$E69,CI$5&lt;=$F69),IF(CI$5=$E69+1,$C69,""),"")</f>
        <v/>
      </c>
      <c r="CJ69" s="34">
        <f>IF(AND(CJ$5&gt;$E69,CJ$5&lt;=$F69),IF(CJ$5=$E69+1,$C69,""),"")</f>
        <v/>
      </c>
      <c r="CK69" s="34">
        <f>IF(AND(CK$5&gt;$E69,CK$5&lt;=$F69),IF(CK$5=$E69+1,$C69,""),"")</f>
        <v/>
      </c>
      <c r="CL69" s="34">
        <f>IF(AND(CL$5&gt;$E69,CL$5&lt;=$F69),IF(CL$5=$E69+1,$C69,""),"")</f>
        <v/>
      </c>
      <c r="CM69" s="34">
        <f>IF(AND(CM$5&gt;$E69,CM$5&lt;=$F69),IF(CM$5=$E69+1,$C69,""),"")</f>
        <v/>
      </c>
      <c r="CN69" s="34">
        <f>IF(AND(CN$5&gt;$E69,CN$5&lt;=$F69),IF(CN$5=$E69+1,$C69,""),"")</f>
        <v/>
      </c>
      <c r="CO69" s="34">
        <f>IF(AND(CO$5&gt;$E69,CO$5&lt;=$F69),IF(CO$5=$E69+1,$C69,""),"")</f>
        <v/>
      </c>
      <c r="CP69" s="34">
        <f>IF(AND(CP$5&gt;$E69,CP$5&lt;=$F69),IF(CP$5=$E69+1,$C69,""),"")</f>
        <v/>
      </c>
      <c r="CQ69" s="34">
        <f>IF(AND(CQ$5&gt;$E69,CQ$5&lt;=$F69),IF(CQ$5=$E69+1,$C69,""),"")</f>
        <v/>
      </c>
      <c r="CR69" s="34">
        <f>IF(AND(CR$5&gt;$E69,CR$5&lt;=$F69),IF(CR$5=$E69+1,$C69,""),"")</f>
        <v/>
      </c>
      <c r="CS69" s="34">
        <f>IF(AND(CS$5&gt;$E69,CS$5&lt;=$F69),IF(CS$5=$E69+1,$C69,""),"")</f>
        <v/>
      </c>
    </row>
    <row r="70">
      <c r="A70" s="32">
        <f>Plan!A60</f>
        <v/>
      </c>
      <c r="B70" s="33">
        <f>Plan!C60</f>
        <v/>
      </c>
      <c r="C70" s="16">
        <f>Plan!D60</f>
        <v/>
      </c>
      <c r="D70" s="16">
        <f>Plan!I60</f>
        <v/>
      </c>
      <c r="E70" s="16">
        <f>Plan!K60</f>
        <v/>
      </c>
      <c r="F70" s="16">
        <f>Plan!L60</f>
        <v/>
      </c>
      <c r="G70" s="16">
        <f>Plan!O60</f>
        <v/>
      </c>
      <c r="H70" s="34">
        <f>IF(AND(H$5&gt;$E70,H$5&lt;=$F70),IF(H$5=$E70+1,$C70,""),"")</f>
        <v/>
      </c>
      <c r="I70" s="34">
        <f>IF(AND(I$5&gt;$E70,I$5&lt;=$F70),IF(I$5=$E70+1,$C70,""),"")</f>
        <v/>
      </c>
      <c r="J70" s="34">
        <f>IF(AND(J$5&gt;$E70,J$5&lt;=$F70),IF(J$5=$E70+1,$C70,""),"")</f>
        <v/>
      </c>
      <c r="K70" s="34">
        <f>IF(AND(K$5&gt;$E70,K$5&lt;=$F70),IF(K$5=$E70+1,$C70,""),"")</f>
        <v/>
      </c>
      <c r="L70" s="34">
        <f>IF(AND(L$5&gt;$E70,L$5&lt;=$F70),IF(L$5=$E70+1,$C70,""),"")</f>
        <v/>
      </c>
      <c r="M70" s="34">
        <f>IF(AND(M$5&gt;$E70,M$5&lt;=$F70),IF(M$5=$E70+1,$C70,""),"")</f>
        <v/>
      </c>
      <c r="N70" s="34">
        <f>IF(AND(N$5&gt;$E70,N$5&lt;=$F70),IF(N$5=$E70+1,$C70,""),"")</f>
        <v/>
      </c>
      <c r="O70" s="34">
        <f>IF(AND(O$5&gt;$E70,O$5&lt;=$F70),IF(O$5=$E70+1,$C70,""),"")</f>
        <v/>
      </c>
      <c r="P70" s="34">
        <f>IF(AND(P$5&gt;$E70,P$5&lt;=$F70),IF(P$5=$E70+1,$C70,""),"")</f>
        <v/>
      </c>
      <c r="Q70" s="34">
        <f>IF(AND(Q$5&gt;$E70,Q$5&lt;=$F70),IF(Q$5=$E70+1,$C70,""),"")</f>
        <v/>
      </c>
      <c r="R70" s="34">
        <f>IF(AND(R$5&gt;$E70,R$5&lt;=$F70),IF(R$5=$E70+1,$C70,""),"")</f>
        <v/>
      </c>
      <c r="S70" s="34">
        <f>IF(AND(S$5&gt;$E70,S$5&lt;=$F70),IF(S$5=$E70+1,$C70,""),"")</f>
        <v/>
      </c>
      <c r="T70" s="34">
        <f>IF(AND(T$5&gt;$E70,T$5&lt;=$F70),IF(T$5=$E70+1,$C70,""),"")</f>
        <v/>
      </c>
      <c r="U70" s="34">
        <f>IF(AND(U$5&gt;$E70,U$5&lt;=$F70),IF(U$5=$E70+1,$C70,""),"")</f>
        <v/>
      </c>
      <c r="V70" s="34">
        <f>IF(AND(V$5&gt;$E70,V$5&lt;=$F70),IF(V$5=$E70+1,$C70,""),"")</f>
        <v/>
      </c>
      <c r="W70" s="34">
        <f>IF(AND(W$5&gt;$E70,W$5&lt;=$F70),IF(W$5=$E70+1,$C70,""),"")</f>
        <v/>
      </c>
      <c r="X70" s="34">
        <f>IF(AND(X$5&gt;$E70,X$5&lt;=$F70),IF(X$5=$E70+1,$C70,""),"")</f>
        <v/>
      </c>
      <c r="Y70" s="34">
        <f>IF(AND(Y$5&gt;$E70,Y$5&lt;=$F70),IF(Y$5=$E70+1,$C70,""),"")</f>
        <v/>
      </c>
      <c r="Z70" s="34">
        <f>IF(AND(Z$5&gt;$E70,Z$5&lt;=$F70),IF(Z$5=$E70+1,$C70,""),"")</f>
        <v/>
      </c>
      <c r="AA70" s="34">
        <f>IF(AND(AA$5&gt;$E70,AA$5&lt;=$F70),IF(AA$5=$E70+1,$C70,""),"")</f>
        <v/>
      </c>
      <c r="AB70" s="34">
        <f>IF(AND(AB$5&gt;$E70,AB$5&lt;=$F70),IF(AB$5=$E70+1,$C70,""),"")</f>
        <v/>
      </c>
      <c r="AC70" s="34">
        <f>IF(AND(AC$5&gt;$E70,AC$5&lt;=$F70),IF(AC$5=$E70+1,$C70,""),"")</f>
        <v/>
      </c>
      <c r="AD70" s="34">
        <f>IF(AND(AD$5&gt;$E70,AD$5&lt;=$F70),IF(AD$5=$E70+1,$C70,""),"")</f>
        <v/>
      </c>
      <c r="AE70" s="34">
        <f>IF(AND(AE$5&gt;$E70,AE$5&lt;=$F70),IF(AE$5=$E70+1,$C70,""),"")</f>
        <v/>
      </c>
      <c r="AF70" s="34">
        <f>IF(AND(AF$5&gt;$E70,AF$5&lt;=$F70),IF(AF$5=$E70+1,$C70,""),"")</f>
        <v/>
      </c>
      <c r="AG70" s="34">
        <f>IF(AND(AG$5&gt;$E70,AG$5&lt;=$F70),IF(AG$5=$E70+1,$C70,""),"")</f>
        <v/>
      </c>
      <c r="AH70" s="34">
        <f>IF(AND(AH$5&gt;$E70,AH$5&lt;=$F70),IF(AH$5=$E70+1,$C70,""),"")</f>
        <v/>
      </c>
      <c r="AI70" s="34">
        <f>IF(AND(AI$5&gt;$E70,AI$5&lt;=$F70),IF(AI$5=$E70+1,$C70,""),"")</f>
        <v/>
      </c>
      <c r="AJ70" s="34">
        <f>IF(AND(AJ$5&gt;$E70,AJ$5&lt;=$F70),IF(AJ$5=$E70+1,$C70,""),"")</f>
        <v/>
      </c>
      <c r="AK70" s="34">
        <f>IF(AND(AK$5&gt;$E70,AK$5&lt;=$F70),IF(AK$5=$E70+1,$C70,""),"")</f>
        <v/>
      </c>
      <c r="AL70" s="34">
        <f>IF(AND(AL$5&gt;$E70,AL$5&lt;=$F70),IF(AL$5=$E70+1,$C70,""),"")</f>
        <v/>
      </c>
      <c r="AM70" s="34">
        <f>IF(AND(AM$5&gt;$E70,AM$5&lt;=$F70),IF(AM$5=$E70+1,$C70,""),"")</f>
        <v/>
      </c>
      <c r="AN70" s="34">
        <f>IF(AND(AN$5&gt;$E70,AN$5&lt;=$F70),IF(AN$5=$E70+1,$C70,""),"")</f>
        <v/>
      </c>
      <c r="AO70" s="34">
        <f>IF(AND(AO$5&gt;$E70,AO$5&lt;=$F70),IF(AO$5=$E70+1,$C70,""),"")</f>
        <v/>
      </c>
      <c r="AP70" s="34">
        <f>IF(AND(AP$5&gt;$E70,AP$5&lt;=$F70),IF(AP$5=$E70+1,$C70,""),"")</f>
        <v/>
      </c>
      <c r="AQ70" s="34">
        <f>IF(AND(AQ$5&gt;$E70,AQ$5&lt;=$F70),IF(AQ$5=$E70+1,$C70,""),"")</f>
        <v/>
      </c>
      <c r="AR70" s="34">
        <f>IF(AND(AR$5&gt;$E70,AR$5&lt;=$F70),IF(AR$5=$E70+1,$C70,""),"")</f>
        <v/>
      </c>
      <c r="AS70" s="34">
        <f>IF(AND(AS$5&gt;$E70,AS$5&lt;=$F70),IF(AS$5=$E70+1,$C70,""),"")</f>
        <v/>
      </c>
      <c r="AT70" s="34">
        <f>IF(AND(AT$5&gt;$E70,AT$5&lt;=$F70),IF(AT$5=$E70+1,$C70,""),"")</f>
        <v/>
      </c>
      <c r="AU70" s="34">
        <f>IF(AND(AU$5&gt;$E70,AU$5&lt;=$F70),IF(AU$5=$E70+1,$C70,""),"")</f>
        <v/>
      </c>
      <c r="AV70" s="34">
        <f>IF(AND(AV$5&gt;$E70,AV$5&lt;=$F70),IF(AV$5=$E70+1,$C70,""),"")</f>
        <v/>
      </c>
      <c r="AW70" s="34">
        <f>IF(AND(AW$5&gt;$E70,AW$5&lt;=$F70),IF(AW$5=$E70+1,$C70,""),"")</f>
        <v/>
      </c>
      <c r="AX70" s="34">
        <f>IF(AND(AX$5&gt;$E70,AX$5&lt;=$F70),IF(AX$5=$E70+1,$C70,""),"")</f>
        <v/>
      </c>
      <c r="AY70" s="34">
        <f>IF(AND(AY$5&gt;$E70,AY$5&lt;=$F70),IF(AY$5=$E70+1,$C70,""),"")</f>
        <v/>
      </c>
      <c r="AZ70" s="34">
        <f>IF(AND(AZ$5&gt;$E70,AZ$5&lt;=$F70),IF(AZ$5=$E70+1,$C70,""),"")</f>
        <v/>
      </c>
      <c r="BA70" s="34">
        <f>IF(AND(BA$5&gt;$E70,BA$5&lt;=$F70),IF(BA$5=$E70+1,$C70,""),"")</f>
        <v/>
      </c>
      <c r="BB70" s="34">
        <f>IF(AND(BB$5&gt;$E70,BB$5&lt;=$F70),IF(BB$5=$E70+1,$C70,""),"")</f>
        <v/>
      </c>
      <c r="BC70" s="34">
        <f>IF(AND(BC$5&gt;$E70,BC$5&lt;=$F70),IF(BC$5=$E70+1,$C70,""),"")</f>
        <v/>
      </c>
      <c r="BD70" s="34">
        <f>IF(AND(BD$5&gt;$E70,BD$5&lt;=$F70),IF(BD$5=$E70+1,$C70,""),"")</f>
        <v/>
      </c>
      <c r="BE70" s="34">
        <f>IF(AND(BE$5&gt;$E70,BE$5&lt;=$F70),IF(BE$5=$E70+1,$C70,""),"")</f>
        <v/>
      </c>
      <c r="BF70" s="34">
        <f>IF(AND(BF$5&gt;$E70,BF$5&lt;=$F70),IF(BF$5=$E70+1,$C70,""),"")</f>
        <v/>
      </c>
      <c r="BG70" s="34">
        <f>IF(AND(BG$5&gt;$E70,BG$5&lt;=$F70),IF(BG$5=$E70+1,$C70,""),"")</f>
        <v/>
      </c>
      <c r="BH70" s="34">
        <f>IF(AND(BH$5&gt;$E70,BH$5&lt;=$F70),IF(BH$5=$E70+1,$C70,""),"")</f>
        <v/>
      </c>
      <c r="BI70" s="34">
        <f>IF(AND(BI$5&gt;$E70,BI$5&lt;=$F70),IF(BI$5=$E70+1,$C70,""),"")</f>
        <v/>
      </c>
      <c r="BJ70" s="34">
        <f>IF(AND(BJ$5&gt;$E70,BJ$5&lt;=$F70),IF(BJ$5=$E70+1,$C70,""),"")</f>
        <v/>
      </c>
      <c r="BK70" s="34">
        <f>IF(AND(BK$5&gt;$E70,BK$5&lt;=$F70),IF(BK$5=$E70+1,$C70,""),"")</f>
        <v/>
      </c>
      <c r="BL70" s="34">
        <f>IF(AND(BL$5&gt;$E70,BL$5&lt;=$F70),IF(BL$5=$E70+1,$C70,""),"")</f>
        <v/>
      </c>
      <c r="BM70" s="34">
        <f>IF(AND(BM$5&gt;$E70,BM$5&lt;=$F70),IF(BM$5=$E70+1,$C70,""),"")</f>
        <v/>
      </c>
      <c r="BN70" s="34">
        <f>IF(AND(BN$5&gt;$E70,BN$5&lt;=$F70),IF(BN$5=$E70+1,$C70,""),"")</f>
        <v/>
      </c>
      <c r="BO70" s="34">
        <f>IF(AND(BO$5&gt;$E70,BO$5&lt;=$F70),IF(BO$5=$E70+1,$C70,""),"")</f>
        <v/>
      </c>
      <c r="BP70" s="34">
        <f>IF(AND(BP$5&gt;$E70,BP$5&lt;=$F70),IF(BP$5=$E70+1,$C70,""),"")</f>
        <v/>
      </c>
      <c r="BQ70" s="34">
        <f>IF(AND(BQ$5&gt;$E70,BQ$5&lt;=$F70),IF(BQ$5=$E70+1,$C70,""),"")</f>
        <v/>
      </c>
      <c r="BR70" s="34">
        <f>IF(AND(BR$5&gt;$E70,BR$5&lt;=$F70),IF(BR$5=$E70+1,$C70,""),"")</f>
        <v/>
      </c>
      <c r="BS70" s="34">
        <f>IF(AND(BS$5&gt;$E70,BS$5&lt;=$F70),IF(BS$5=$E70+1,$C70,""),"")</f>
        <v/>
      </c>
      <c r="BT70" s="34">
        <f>IF(AND(BT$5&gt;$E70,BT$5&lt;=$F70),IF(BT$5=$E70+1,$C70,""),"")</f>
        <v/>
      </c>
      <c r="BU70" s="34">
        <f>IF(AND(BU$5&gt;$E70,BU$5&lt;=$F70),IF(BU$5=$E70+1,$C70,""),"")</f>
        <v/>
      </c>
      <c r="BV70" s="34">
        <f>IF(AND(BV$5&gt;$E70,BV$5&lt;=$F70),IF(BV$5=$E70+1,$C70,""),"")</f>
        <v/>
      </c>
      <c r="BW70" s="34">
        <f>IF(AND(BW$5&gt;$E70,BW$5&lt;=$F70),IF(BW$5=$E70+1,$C70,""),"")</f>
        <v/>
      </c>
      <c r="BX70" s="34">
        <f>IF(AND(BX$5&gt;$E70,BX$5&lt;=$F70),IF(BX$5=$E70+1,$C70,""),"")</f>
        <v/>
      </c>
      <c r="BY70" s="34">
        <f>IF(AND(BY$5&gt;$E70,BY$5&lt;=$F70),IF(BY$5=$E70+1,$C70,""),"")</f>
        <v/>
      </c>
      <c r="BZ70" s="34">
        <f>IF(AND(BZ$5&gt;$E70,BZ$5&lt;=$F70),IF(BZ$5=$E70+1,$C70,""),"")</f>
        <v/>
      </c>
      <c r="CA70" s="34">
        <f>IF(AND(CA$5&gt;$E70,CA$5&lt;=$F70),IF(CA$5=$E70+1,$C70,""),"")</f>
        <v/>
      </c>
      <c r="CB70" s="34">
        <f>IF(AND(CB$5&gt;$E70,CB$5&lt;=$F70),IF(CB$5=$E70+1,$C70,""),"")</f>
        <v/>
      </c>
      <c r="CC70" s="34">
        <f>IF(AND(CC$5&gt;$E70,CC$5&lt;=$F70),IF(CC$5=$E70+1,$C70,""),"")</f>
        <v/>
      </c>
      <c r="CD70" s="34">
        <f>IF(AND(CD$5&gt;$E70,CD$5&lt;=$F70),IF(CD$5=$E70+1,$C70,""),"")</f>
        <v/>
      </c>
      <c r="CE70" s="34">
        <f>IF(AND(CE$5&gt;$E70,CE$5&lt;=$F70),IF(CE$5=$E70+1,$C70,""),"")</f>
        <v/>
      </c>
      <c r="CF70" s="34">
        <f>IF(AND(CF$5&gt;$E70,CF$5&lt;=$F70),IF(CF$5=$E70+1,$C70,""),"")</f>
        <v/>
      </c>
      <c r="CG70" s="34">
        <f>IF(AND(CG$5&gt;$E70,CG$5&lt;=$F70),IF(CG$5=$E70+1,$C70,""),"")</f>
        <v/>
      </c>
      <c r="CH70" s="34">
        <f>IF(AND(CH$5&gt;$E70,CH$5&lt;=$F70),IF(CH$5=$E70+1,$C70,""),"")</f>
        <v/>
      </c>
      <c r="CI70" s="34">
        <f>IF(AND(CI$5&gt;$E70,CI$5&lt;=$F70),IF(CI$5=$E70+1,$C70,""),"")</f>
        <v/>
      </c>
      <c r="CJ70" s="34">
        <f>IF(AND(CJ$5&gt;$E70,CJ$5&lt;=$F70),IF(CJ$5=$E70+1,$C70,""),"")</f>
        <v/>
      </c>
      <c r="CK70" s="34">
        <f>IF(AND(CK$5&gt;$E70,CK$5&lt;=$F70),IF(CK$5=$E70+1,$C70,""),"")</f>
        <v/>
      </c>
      <c r="CL70" s="34">
        <f>IF(AND(CL$5&gt;$E70,CL$5&lt;=$F70),IF(CL$5=$E70+1,$C70,""),"")</f>
        <v/>
      </c>
      <c r="CM70" s="34">
        <f>IF(AND(CM$5&gt;$E70,CM$5&lt;=$F70),IF(CM$5=$E70+1,$C70,""),"")</f>
        <v/>
      </c>
      <c r="CN70" s="34">
        <f>IF(AND(CN$5&gt;$E70,CN$5&lt;=$F70),IF(CN$5=$E70+1,$C70,""),"")</f>
        <v/>
      </c>
      <c r="CO70" s="34">
        <f>IF(AND(CO$5&gt;$E70,CO$5&lt;=$F70),IF(CO$5=$E70+1,$C70,""),"")</f>
        <v/>
      </c>
      <c r="CP70" s="34">
        <f>IF(AND(CP$5&gt;$E70,CP$5&lt;=$F70),IF(CP$5=$E70+1,$C70,""),"")</f>
        <v/>
      </c>
      <c r="CQ70" s="34">
        <f>IF(AND(CQ$5&gt;$E70,CQ$5&lt;=$F70),IF(CQ$5=$E70+1,$C70,""),"")</f>
        <v/>
      </c>
      <c r="CR70" s="34">
        <f>IF(AND(CR$5&gt;$E70,CR$5&lt;=$F70),IF(CR$5=$E70+1,$C70,""),"")</f>
        <v/>
      </c>
      <c r="CS70" s="34">
        <f>IF(AND(CS$5&gt;$E70,CS$5&lt;=$F70),IF(CS$5=$E70+1,$C70,""),"")</f>
        <v/>
      </c>
    </row>
    <row r="71">
      <c r="A71" s="32">
        <f>Plan!A61</f>
        <v/>
      </c>
      <c r="B71" s="33">
        <f>Plan!C61</f>
        <v/>
      </c>
      <c r="C71" s="16">
        <f>Plan!D61</f>
        <v/>
      </c>
      <c r="D71" s="16">
        <f>Plan!I61</f>
        <v/>
      </c>
      <c r="E71" s="16">
        <f>Plan!K61</f>
        <v/>
      </c>
      <c r="F71" s="16">
        <f>Plan!L61</f>
        <v/>
      </c>
      <c r="G71" s="16">
        <f>Plan!O61</f>
        <v/>
      </c>
      <c r="H71" s="34">
        <f>IF(AND(H$5&gt;$E71,H$5&lt;=$F71),IF(H$5=$E71+1,$C71,""),"")</f>
        <v/>
      </c>
      <c r="I71" s="34">
        <f>IF(AND(I$5&gt;$E71,I$5&lt;=$F71),IF(I$5=$E71+1,$C71,""),"")</f>
        <v/>
      </c>
      <c r="J71" s="34">
        <f>IF(AND(J$5&gt;$E71,J$5&lt;=$F71),IF(J$5=$E71+1,$C71,""),"")</f>
        <v/>
      </c>
      <c r="K71" s="34">
        <f>IF(AND(K$5&gt;$E71,K$5&lt;=$F71),IF(K$5=$E71+1,$C71,""),"")</f>
        <v/>
      </c>
      <c r="L71" s="34">
        <f>IF(AND(L$5&gt;$E71,L$5&lt;=$F71),IF(L$5=$E71+1,$C71,""),"")</f>
        <v/>
      </c>
      <c r="M71" s="34">
        <f>IF(AND(M$5&gt;$E71,M$5&lt;=$F71),IF(M$5=$E71+1,$C71,""),"")</f>
        <v/>
      </c>
      <c r="N71" s="34">
        <f>IF(AND(N$5&gt;$E71,N$5&lt;=$F71),IF(N$5=$E71+1,$C71,""),"")</f>
        <v/>
      </c>
      <c r="O71" s="34">
        <f>IF(AND(O$5&gt;$E71,O$5&lt;=$F71),IF(O$5=$E71+1,$C71,""),"")</f>
        <v/>
      </c>
      <c r="P71" s="34">
        <f>IF(AND(P$5&gt;$E71,P$5&lt;=$F71),IF(P$5=$E71+1,$C71,""),"")</f>
        <v/>
      </c>
      <c r="Q71" s="34">
        <f>IF(AND(Q$5&gt;$E71,Q$5&lt;=$F71),IF(Q$5=$E71+1,$C71,""),"")</f>
        <v/>
      </c>
      <c r="R71" s="34">
        <f>IF(AND(R$5&gt;$E71,R$5&lt;=$F71),IF(R$5=$E71+1,$C71,""),"")</f>
        <v/>
      </c>
      <c r="S71" s="34">
        <f>IF(AND(S$5&gt;$E71,S$5&lt;=$F71),IF(S$5=$E71+1,$C71,""),"")</f>
        <v/>
      </c>
      <c r="T71" s="34">
        <f>IF(AND(T$5&gt;$E71,T$5&lt;=$F71),IF(T$5=$E71+1,$C71,""),"")</f>
        <v/>
      </c>
      <c r="U71" s="34">
        <f>IF(AND(U$5&gt;$E71,U$5&lt;=$F71),IF(U$5=$E71+1,$C71,""),"")</f>
        <v/>
      </c>
      <c r="V71" s="34">
        <f>IF(AND(V$5&gt;$E71,V$5&lt;=$F71),IF(V$5=$E71+1,$C71,""),"")</f>
        <v/>
      </c>
      <c r="W71" s="34">
        <f>IF(AND(W$5&gt;$E71,W$5&lt;=$F71),IF(W$5=$E71+1,$C71,""),"")</f>
        <v/>
      </c>
      <c r="X71" s="34">
        <f>IF(AND(X$5&gt;$E71,X$5&lt;=$F71),IF(X$5=$E71+1,$C71,""),"")</f>
        <v/>
      </c>
      <c r="Y71" s="34">
        <f>IF(AND(Y$5&gt;$E71,Y$5&lt;=$F71),IF(Y$5=$E71+1,$C71,""),"")</f>
        <v/>
      </c>
      <c r="Z71" s="34">
        <f>IF(AND(Z$5&gt;$E71,Z$5&lt;=$F71),IF(Z$5=$E71+1,$C71,""),"")</f>
        <v/>
      </c>
      <c r="AA71" s="34">
        <f>IF(AND(AA$5&gt;$E71,AA$5&lt;=$F71),IF(AA$5=$E71+1,$C71,""),"")</f>
        <v/>
      </c>
      <c r="AB71" s="34">
        <f>IF(AND(AB$5&gt;$E71,AB$5&lt;=$F71),IF(AB$5=$E71+1,$C71,""),"")</f>
        <v/>
      </c>
      <c r="AC71" s="34">
        <f>IF(AND(AC$5&gt;$E71,AC$5&lt;=$F71),IF(AC$5=$E71+1,$C71,""),"")</f>
        <v/>
      </c>
      <c r="AD71" s="34">
        <f>IF(AND(AD$5&gt;$E71,AD$5&lt;=$F71),IF(AD$5=$E71+1,$C71,""),"")</f>
        <v/>
      </c>
      <c r="AE71" s="34">
        <f>IF(AND(AE$5&gt;$E71,AE$5&lt;=$F71),IF(AE$5=$E71+1,$C71,""),"")</f>
        <v/>
      </c>
      <c r="AF71" s="34">
        <f>IF(AND(AF$5&gt;$E71,AF$5&lt;=$F71),IF(AF$5=$E71+1,$C71,""),"")</f>
        <v/>
      </c>
      <c r="AG71" s="34">
        <f>IF(AND(AG$5&gt;$E71,AG$5&lt;=$F71),IF(AG$5=$E71+1,$C71,""),"")</f>
        <v/>
      </c>
      <c r="AH71" s="34">
        <f>IF(AND(AH$5&gt;$E71,AH$5&lt;=$F71),IF(AH$5=$E71+1,$C71,""),"")</f>
        <v/>
      </c>
      <c r="AI71" s="34">
        <f>IF(AND(AI$5&gt;$E71,AI$5&lt;=$F71),IF(AI$5=$E71+1,$C71,""),"")</f>
        <v/>
      </c>
      <c r="AJ71" s="34">
        <f>IF(AND(AJ$5&gt;$E71,AJ$5&lt;=$F71),IF(AJ$5=$E71+1,$C71,""),"")</f>
        <v/>
      </c>
      <c r="AK71" s="34">
        <f>IF(AND(AK$5&gt;$E71,AK$5&lt;=$F71),IF(AK$5=$E71+1,$C71,""),"")</f>
        <v/>
      </c>
      <c r="AL71" s="34">
        <f>IF(AND(AL$5&gt;$E71,AL$5&lt;=$F71),IF(AL$5=$E71+1,$C71,""),"")</f>
        <v/>
      </c>
      <c r="AM71" s="34">
        <f>IF(AND(AM$5&gt;$E71,AM$5&lt;=$F71),IF(AM$5=$E71+1,$C71,""),"")</f>
        <v/>
      </c>
      <c r="AN71" s="34">
        <f>IF(AND(AN$5&gt;$E71,AN$5&lt;=$F71),IF(AN$5=$E71+1,$C71,""),"")</f>
        <v/>
      </c>
      <c r="AO71" s="34">
        <f>IF(AND(AO$5&gt;$E71,AO$5&lt;=$F71),IF(AO$5=$E71+1,$C71,""),"")</f>
        <v/>
      </c>
      <c r="AP71" s="34">
        <f>IF(AND(AP$5&gt;$E71,AP$5&lt;=$F71),IF(AP$5=$E71+1,$C71,""),"")</f>
        <v/>
      </c>
      <c r="AQ71" s="34">
        <f>IF(AND(AQ$5&gt;$E71,AQ$5&lt;=$F71),IF(AQ$5=$E71+1,$C71,""),"")</f>
        <v/>
      </c>
      <c r="AR71" s="34">
        <f>IF(AND(AR$5&gt;$E71,AR$5&lt;=$F71),IF(AR$5=$E71+1,$C71,""),"")</f>
        <v/>
      </c>
      <c r="AS71" s="34">
        <f>IF(AND(AS$5&gt;$E71,AS$5&lt;=$F71),IF(AS$5=$E71+1,$C71,""),"")</f>
        <v/>
      </c>
      <c r="AT71" s="34">
        <f>IF(AND(AT$5&gt;$E71,AT$5&lt;=$F71),IF(AT$5=$E71+1,$C71,""),"")</f>
        <v/>
      </c>
      <c r="AU71" s="34">
        <f>IF(AND(AU$5&gt;$E71,AU$5&lt;=$F71),IF(AU$5=$E71+1,$C71,""),"")</f>
        <v/>
      </c>
      <c r="AV71" s="34">
        <f>IF(AND(AV$5&gt;$E71,AV$5&lt;=$F71),IF(AV$5=$E71+1,$C71,""),"")</f>
        <v/>
      </c>
      <c r="AW71" s="34">
        <f>IF(AND(AW$5&gt;$E71,AW$5&lt;=$F71),IF(AW$5=$E71+1,$C71,""),"")</f>
        <v/>
      </c>
      <c r="AX71" s="34">
        <f>IF(AND(AX$5&gt;$E71,AX$5&lt;=$F71),IF(AX$5=$E71+1,$C71,""),"")</f>
        <v/>
      </c>
      <c r="AY71" s="34">
        <f>IF(AND(AY$5&gt;$E71,AY$5&lt;=$F71),IF(AY$5=$E71+1,$C71,""),"")</f>
        <v/>
      </c>
      <c r="AZ71" s="34">
        <f>IF(AND(AZ$5&gt;$E71,AZ$5&lt;=$F71),IF(AZ$5=$E71+1,$C71,""),"")</f>
        <v/>
      </c>
      <c r="BA71" s="34">
        <f>IF(AND(BA$5&gt;$E71,BA$5&lt;=$F71),IF(BA$5=$E71+1,$C71,""),"")</f>
        <v/>
      </c>
      <c r="BB71" s="34">
        <f>IF(AND(BB$5&gt;$E71,BB$5&lt;=$F71),IF(BB$5=$E71+1,$C71,""),"")</f>
        <v/>
      </c>
      <c r="BC71" s="34">
        <f>IF(AND(BC$5&gt;$E71,BC$5&lt;=$F71),IF(BC$5=$E71+1,$C71,""),"")</f>
        <v/>
      </c>
      <c r="BD71" s="34">
        <f>IF(AND(BD$5&gt;$E71,BD$5&lt;=$F71),IF(BD$5=$E71+1,$C71,""),"")</f>
        <v/>
      </c>
      <c r="BE71" s="34">
        <f>IF(AND(BE$5&gt;$E71,BE$5&lt;=$F71),IF(BE$5=$E71+1,$C71,""),"")</f>
        <v/>
      </c>
      <c r="BF71" s="34">
        <f>IF(AND(BF$5&gt;$E71,BF$5&lt;=$F71),IF(BF$5=$E71+1,$C71,""),"")</f>
        <v/>
      </c>
      <c r="BG71" s="34">
        <f>IF(AND(BG$5&gt;$E71,BG$5&lt;=$F71),IF(BG$5=$E71+1,$C71,""),"")</f>
        <v/>
      </c>
      <c r="BH71" s="34">
        <f>IF(AND(BH$5&gt;$E71,BH$5&lt;=$F71),IF(BH$5=$E71+1,$C71,""),"")</f>
        <v/>
      </c>
      <c r="BI71" s="34">
        <f>IF(AND(BI$5&gt;$E71,BI$5&lt;=$F71),IF(BI$5=$E71+1,$C71,""),"")</f>
        <v/>
      </c>
      <c r="BJ71" s="34">
        <f>IF(AND(BJ$5&gt;$E71,BJ$5&lt;=$F71),IF(BJ$5=$E71+1,$C71,""),"")</f>
        <v/>
      </c>
      <c r="BK71" s="34">
        <f>IF(AND(BK$5&gt;$E71,BK$5&lt;=$F71),IF(BK$5=$E71+1,$C71,""),"")</f>
        <v/>
      </c>
      <c r="BL71" s="34">
        <f>IF(AND(BL$5&gt;$E71,BL$5&lt;=$F71),IF(BL$5=$E71+1,$C71,""),"")</f>
        <v/>
      </c>
      <c r="BM71" s="34">
        <f>IF(AND(BM$5&gt;$E71,BM$5&lt;=$F71),IF(BM$5=$E71+1,$C71,""),"")</f>
        <v/>
      </c>
      <c r="BN71" s="34">
        <f>IF(AND(BN$5&gt;$E71,BN$5&lt;=$F71),IF(BN$5=$E71+1,$C71,""),"")</f>
        <v/>
      </c>
      <c r="BO71" s="34">
        <f>IF(AND(BO$5&gt;$E71,BO$5&lt;=$F71),IF(BO$5=$E71+1,$C71,""),"")</f>
        <v/>
      </c>
      <c r="BP71" s="34">
        <f>IF(AND(BP$5&gt;$E71,BP$5&lt;=$F71),IF(BP$5=$E71+1,$C71,""),"")</f>
        <v/>
      </c>
      <c r="BQ71" s="34">
        <f>IF(AND(BQ$5&gt;$E71,BQ$5&lt;=$F71),IF(BQ$5=$E71+1,$C71,""),"")</f>
        <v/>
      </c>
      <c r="BR71" s="34">
        <f>IF(AND(BR$5&gt;$E71,BR$5&lt;=$F71),IF(BR$5=$E71+1,$C71,""),"")</f>
        <v/>
      </c>
      <c r="BS71" s="34">
        <f>IF(AND(BS$5&gt;$E71,BS$5&lt;=$F71),IF(BS$5=$E71+1,$C71,""),"")</f>
        <v/>
      </c>
      <c r="BT71" s="34">
        <f>IF(AND(BT$5&gt;$E71,BT$5&lt;=$F71),IF(BT$5=$E71+1,$C71,""),"")</f>
        <v/>
      </c>
      <c r="BU71" s="34">
        <f>IF(AND(BU$5&gt;$E71,BU$5&lt;=$F71),IF(BU$5=$E71+1,$C71,""),"")</f>
        <v/>
      </c>
      <c r="BV71" s="34">
        <f>IF(AND(BV$5&gt;$E71,BV$5&lt;=$F71),IF(BV$5=$E71+1,$C71,""),"")</f>
        <v/>
      </c>
      <c r="BW71" s="34">
        <f>IF(AND(BW$5&gt;$E71,BW$5&lt;=$F71),IF(BW$5=$E71+1,$C71,""),"")</f>
        <v/>
      </c>
      <c r="BX71" s="34">
        <f>IF(AND(BX$5&gt;$E71,BX$5&lt;=$F71),IF(BX$5=$E71+1,$C71,""),"")</f>
        <v/>
      </c>
      <c r="BY71" s="34">
        <f>IF(AND(BY$5&gt;$E71,BY$5&lt;=$F71),IF(BY$5=$E71+1,$C71,""),"")</f>
        <v/>
      </c>
      <c r="BZ71" s="34">
        <f>IF(AND(BZ$5&gt;$E71,BZ$5&lt;=$F71),IF(BZ$5=$E71+1,$C71,""),"")</f>
        <v/>
      </c>
      <c r="CA71" s="34">
        <f>IF(AND(CA$5&gt;$E71,CA$5&lt;=$F71),IF(CA$5=$E71+1,$C71,""),"")</f>
        <v/>
      </c>
      <c r="CB71" s="34">
        <f>IF(AND(CB$5&gt;$E71,CB$5&lt;=$F71),IF(CB$5=$E71+1,$C71,""),"")</f>
        <v/>
      </c>
      <c r="CC71" s="34">
        <f>IF(AND(CC$5&gt;$E71,CC$5&lt;=$F71),IF(CC$5=$E71+1,$C71,""),"")</f>
        <v/>
      </c>
      <c r="CD71" s="34">
        <f>IF(AND(CD$5&gt;$E71,CD$5&lt;=$F71),IF(CD$5=$E71+1,$C71,""),"")</f>
        <v/>
      </c>
      <c r="CE71" s="34">
        <f>IF(AND(CE$5&gt;$E71,CE$5&lt;=$F71),IF(CE$5=$E71+1,$C71,""),"")</f>
        <v/>
      </c>
      <c r="CF71" s="34">
        <f>IF(AND(CF$5&gt;$E71,CF$5&lt;=$F71),IF(CF$5=$E71+1,$C71,""),"")</f>
        <v/>
      </c>
      <c r="CG71" s="34">
        <f>IF(AND(CG$5&gt;$E71,CG$5&lt;=$F71),IF(CG$5=$E71+1,$C71,""),"")</f>
        <v/>
      </c>
      <c r="CH71" s="34">
        <f>IF(AND(CH$5&gt;$E71,CH$5&lt;=$F71),IF(CH$5=$E71+1,$C71,""),"")</f>
        <v/>
      </c>
      <c r="CI71" s="34">
        <f>IF(AND(CI$5&gt;$E71,CI$5&lt;=$F71),IF(CI$5=$E71+1,$C71,""),"")</f>
        <v/>
      </c>
      <c r="CJ71" s="34">
        <f>IF(AND(CJ$5&gt;$E71,CJ$5&lt;=$F71),IF(CJ$5=$E71+1,$C71,""),"")</f>
        <v/>
      </c>
      <c r="CK71" s="34">
        <f>IF(AND(CK$5&gt;$E71,CK$5&lt;=$F71),IF(CK$5=$E71+1,$C71,""),"")</f>
        <v/>
      </c>
      <c r="CL71" s="34">
        <f>IF(AND(CL$5&gt;$E71,CL$5&lt;=$F71),IF(CL$5=$E71+1,$C71,""),"")</f>
        <v/>
      </c>
      <c r="CM71" s="34">
        <f>IF(AND(CM$5&gt;$E71,CM$5&lt;=$F71),IF(CM$5=$E71+1,$C71,""),"")</f>
        <v/>
      </c>
      <c r="CN71" s="34">
        <f>IF(AND(CN$5&gt;$E71,CN$5&lt;=$F71),IF(CN$5=$E71+1,$C71,""),"")</f>
        <v/>
      </c>
      <c r="CO71" s="34">
        <f>IF(AND(CO$5&gt;$E71,CO$5&lt;=$F71),IF(CO$5=$E71+1,$C71,""),"")</f>
        <v/>
      </c>
      <c r="CP71" s="34">
        <f>IF(AND(CP$5&gt;$E71,CP$5&lt;=$F71),IF(CP$5=$E71+1,$C71,""),"")</f>
        <v/>
      </c>
      <c r="CQ71" s="34">
        <f>IF(AND(CQ$5&gt;$E71,CQ$5&lt;=$F71),IF(CQ$5=$E71+1,$C71,""),"")</f>
        <v/>
      </c>
      <c r="CR71" s="34">
        <f>IF(AND(CR$5&gt;$E71,CR$5&lt;=$F71),IF(CR$5=$E71+1,$C71,""),"")</f>
        <v/>
      </c>
      <c r="CS71" s="34">
        <f>IF(AND(CS$5&gt;$E71,CS$5&lt;=$F71),IF(CS$5=$E71+1,$C71,""),"")</f>
        <v/>
      </c>
    </row>
    <row r="72">
      <c r="A72" s="32">
        <f>Plan!A62</f>
        <v/>
      </c>
      <c r="B72" s="33">
        <f>Plan!C62</f>
        <v/>
      </c>
      <c r="C72" s="16">
        <f>Plan!D62</f>
        <v/>
      </c>
      <c r="D72" s="16">
        <f>Plan!I62</f>
        <v/>
      </c>
      <c r="E72" s="16">
        <f>Plan!K62</f>
        <v/>
      </c>
      <c r="F72" s="16">
        <f>Plan!L62</f>
        <v/>
      </c>
      <c r="G72" s="16">
        <f>Plan!O62</f>
        <v/>
      </c>
      <c r="H72" s="34">
        <f>IF(AND(H$5&gt;$E72,H$5&lt;=$F72),IF(H$5=$E72+1,$C72,""),"")</f>
        <v/>
      </c>
      <c r="I72" s="34">
        <f>IF(AND(I$5&gt;$E72,I$5&lt;=$F72),IF(I$5=$E72+1,$C72,""),"")</f>
        <v/>
      </c>
      <c r="J72" s="34">
        <f>IF(AND(J$5&gt;$E72,J$5&lt;=$F72),IF(J$5=$E72+1,$C72,""),"")</f>
        <v/>
      </c>
      <c r="K72" s="34">
        <f>IF(AND(K$5&gt;$E72,K$5&lt;=$F72),IF(K$5=$E72+1,$C72,""),"")</f>
        <v/>
      </c>
      <c r="L72" s="34">
        <f>IF(AND(L$5&gt;$E72,L$5&lt;=$F72),IF(L$5=$E72+1,$C72,""),"")</f>
        <v/>
      </c>
      <c r="M72" s="34">
        <f>IF(AND(M$5&gt;$E72,M$5&lt;=$F72),IF(M$5=$E72+1,$C72,""),"")</f>
        <v/>
      </c>
      <c r="N72" s="34">
        <f>IF(AND(N$5&gt;$E72,N$5&lt;=$F72),IF(N$5=$E72+1,$C72,""),"")</f>
        <v/>
      </c>
      <c r="O72" s="34">
        <f>IF(AND(O$5&gt;$E72,O$5&lt;=$F72),IF(O$5=$E72+1,$C72,""),"")</f>
        <v/>
      </c>
      <c r="P72" s="34">
        <f>IF(AND(P$5&gt;$E72,P$5&lt;=$F72),IF(P$5=$E72+1,$C72,""),"")</f>
        <v/>
      </c>
      <c r="Q72" s="34">
        <f>IF(AND(Q$5&gt;$E72,Q$5&lt;=$F72),IF(Q$5=$E72+1,$C72,""),"")</f>
        <v/>
      </c>
      <c r="R72" s="34">
        <f>IF(AND(R$5&gt;$E72,R$5&lt;=$F72),IF(R$5=$E72+1,$C72,""),"")</f>
        <v/>
      </c>
      <c r="S72" s="34">
        <f>IF(AND(S$5&gt;$E72,S$5&lt;=$F72),IF(S$5=$E72+1,$C72,""),"")</f>
        <v/>
      </c>
      <c r="T72" s="34">
        <f>IF(AND(T$5&gt;$E72,T$5&lt;=$F72),IF(T$5=$E72+1,$C72,""),"")</f>
        <v/>
      </c>
      <c r="U72" s="34">
        <f>IF(AND(U$5&gt;$E72,U$5&lt;=$F72),IF(U$5=$E72+1,$C72,""),"")</f>
        <v/>
      </c>
      <c r="V72" s="34">
        <f>IF(AND(V$5&gt;$E72,V$5&lt;=$F72),IF(V$5=$E72+1,$C72,""),"")</f>
        <v/>
      </c>
      <c r="W72" s="34">
        <f>IF(AND(W$5&gt;$E72,W$5&lt;=$F72),IF(W$5=$E72+1,$C72,""),"")</f>
        <v/>
      </c>
      <c r="X72" s="34">
        <f>IF(AND(X$5&gt;$E72,X$5&lt;=$F72),IF(X$5=$E72+1,$C72,""),"")</f>
        <v/>
      </c>
      <c r="Y72" s="34">
        <f>IF(AND(Y$5&gt;$E72,Y$5&lt;=$F72),IF(Y$5=$E72+1,$C72,""),"")</f>
        <v/>
      </c>
      <c r="Z72" s="34">
        <f>IF(AND(Z$5&gt;$E72,Z$5&lt;=$F72),IF(Z$5=$E72+1,$C72,""),"")</f>
        <v/>
      </c>
      <c r="AA72" s="34">
        <f>IF(AND(AA$5&gt;$E72,AA$5&lt;=$F72),IF(AA$5=$E72+1,$C72,""),"")</f>
        <v/>
      </c>
      <c r="AB72" s="34">
        <f>IF(AND(AB$5&gt;$E72,AB$5&lt;=$F72),IF(AB$5=$E72+1,$C72,""),"")</f>
        <v/>
      </c>
      <c r="AC72" s="34">
        <f>IF(AND(AC$5&gt;$E72,AC$5&lt;=$F72),IF(AC$5=$E72+1,$C72,""),"")</f>
        <v/>
      </c>
      <c r="AD72" s="34">
        <f>IF(AND(AD$5&gt;$E72,AD$5&lt;=$F72),IF(AD$5=$E72+1,$C72,""),"")</f>
        <v/>
      </c>
      <c r="AE72" s="34">
        <f>IF(AND(AE$5&gt;$E72,AE$5&lt;=$F72),IF(AE$5=$E72+1,$C72,""),"")</f>
        <v/>
      </c>
      <c r="AF72" s="34">
        <f>IF(AND(AF$5&gt;$E72,AF$5&lt;=$F72),IF(AF$5=$E72+1,$C72,""),"")</f>
        <v/>
      </c>
      <c r="AG72" s="34">
        <f>IF(AND(AG$5&gt;$E72,AG$5&lt;=$F72),IF(AG$5=$E72+1,$C72,""),"")</f>
        <v/>
      </c>
      <c r="AH72" s="34">
        <f>IF(AND(AH$5&gt;$E72,AH$5&lt;=$F72),IF(AH$5=$E72+1,$C72,""),"")</f>
        <v/>
      </c>
      <c r="AI72" s="34">
        <f>IF(AND(AI$5&gt;$E72,AI$5&lt;=$F72),IF(AI$5=$E72+1,$C72,""),"")</f>
        <v/>
      </c>
      <c r="AJ72" s="34">
        <f>IF(AND(AJ$5&gt;$E72,AJ$5&lt;=$F72),IF(AJ$5=$E72+1,$C72,""),"")</f>
        <v/>
      </c>
      <c r="AK72" s="34">
        <f>IF(AND(AK$5&gt;$E72,AK$5&lt;=$F72),IF(AK$5=$E72+1,$C72,""),"")</f>
        <v/>
      </c>
      <c r="AL72" s="34">
        <f>IF(AND(AL$5&gt;$E72,AL$5&lt;=$F72),IF(AL$5=$E72+1,$C72,""),"")</f>
        <v/>
      </c>
      <c r="AM72" s="34">
        <f>IF(AND(AM$5&gt;$E72,AM$5&lt;=$F72),IF(AM$5=$E72+1,$C72,""),"")</f>
        <v/>
      </c>
      <c r="AN72" s="34">
        <f>IF(AND(AN$5&gt;$E72,AN$5&lt;=$F72),IF(AN$5=$E72+1,$C72,""),"")</f>
        <v/>
      </c>
      <c r="AO72" s="34">
        <f>IF(AND(AO$5&gt;$E72,AO$5&lt;=$F72),IF(AO$5=$E72+1,$C72,""),"")</f>
        <v/>
      </c>
      <c r="AP72" s="34">
        <f>IF(AND(AP$5&gt;$E72,AP$5&lt;=$F72),IF(AP$5=$E72+1,$C72,""),"")</f>
        <v/>
      </c>
      <c r="AQ72" s="34">
        <f>IF(AND(AQ$5&gt;$E72,AQ$5&lt;=$F72),IF(AQ$5=$E72+1,$C72,""),"")</f>
        <v/>
      </c>
      <c r="AR72" s="34">
        <f>IF(AND(AR$5&gt;$E72,AR$5&lt;=$F72),IF(AR$5=$E72+1,$C72,""),"")</f>
        <v/>
      </c>
      <c r="AS72" s="34">
        <f>IF(AND(AS$5&gt;$E72,AS$5&lt;=$F72),IF(AS$5=$E72+1,$C72,""),"")</f>
        <v/>
      </c>
      <c r="AT72" s="34">
        <f>IF(AND(AT$5&gt;$E72,AT$5&lt;=$F72),IF(AT$5=$E72+1,$C72,""),"")</f>
        <v/>
      </c>
      <c r="AU72" s="34">
        <f>IF(AND(AU$5&gt;$E72,AU$5&lt;=$F72),IF(AU$5=$E72+1,$C72,""),"")</f>
        <v/>
      </c>
      <c r="AV72" s="34">
        <f>IF(AND(AV$5&gt;$E72,AV$5&lt;=$F72),IF(AV$5=$E72+1,$C72,""),"")</f>
        <v/>
      </c>
      <c r="AW72" s="34">
        <f>IF(AND(AW$5&gt;$E72,AW$5&lt;=$F72),IF(AW$5=$E72+1,$C72,""),"")</f>
        <v/>
      </c>
      <c r="AX72" s="34">
        <f>IF(AND(AX$5&gt;$E72,AX$5&lt;=$F72),IF(AX$5=$E72+1,$C72,""),"")</f>
        <v/>
      </c>
      <c r="AY72" s="34">
        <f>IF(AND(AY$5&gt;$E72,AY$5&lt;=$F72),IF(AY$5=$E72+1,$C72,""),"")</f>
        <v/>
      </c>
      <c r="AZ72" s="34">
        <f>IF(AND(AZ$5&gt;$E72,AZ$5&lt;=$F72),IF(AZ$5=$E72+1,$C72,""),"")</f>
        <v/>
      </c>
      <c r="BA72" s="34">
        <f>IF(AND(BA$5&gt;$E72,BA$5&lt;=$F72),IF(BA$5=$E72+1,$C72,""),"")</f>
        <v/>
      </c>
      <c r="BB72" s="34">
        <f>IF(AND(BB$5&gt;$E72,BB$5&lt;=$F72),IF(BB$5=$E72+1,$C72,""),"")</f>
        <v/>
      </c>
      <c r="BC72" s="34">
        <f>IF(AND(BC$5&gt;$E72,BC$5&lt;=$F72),IF(BC$5=$E72+1,$C72,""),"")</f>
        <v/>
      </c>
      <c r="BD72" s="34">
        <f>IF(AND(BD$5&gt;$E72,BD$5&lt;=$F72),IF(BD$5=$E72+1,$C72,""),"")</f>
        <v/>
      </c>
      <c r="BE72" s="34">
        <f>IF(AND(BE$5&gt;$E72,BE$5&lt;=$F72),IF(BE$5=$E72+1,$C72,""),"")</f>
        <v/>
      </c>
      <c r="BF72" s="34">
        <f>IF(AND(BF$5&gt;$E72,BF$5&lt;=$F72),IF(BF$5=$E72+1,$C72,""),"")</f>
        <v/>
      </c>
      <c r="BG72" s="34">
        <f>IF(AND(BG$5&gt;$E72,BG$5&lt;=$F72),IF(BG$5=$E72+1,$C72,""),"")</f>
        <v/>
      </c>
      <c r="BH72" s="34">
        <f>IF(AND(BH$5&gt;$E72,BH$5&lt;=$F72),IF(BH$5=$E72+1,$C72,""),"")</f>
        <v/>
      </c>
      <c r="BI72" s="34">
        <f>IF(AND(BI$5&gt;$E72,BI$5&lt;=$F72),IF(BI$5=$E72+1,$C72,""),"")</f>
        <v/>
      </c>
      <c r="BJ72" s="34">
        <f>IF(AND(BJ$5&gt;$E72,BJ$5&lt;=$F72),IF(BJ$5=$E72+1,$C72,""),"")</f>
        <v/>
      </c>
      <c r="BK72" s="34">
        <f>IF(AND(BK$5&gt;$E72,BK$5&lt;=$F72),IF(BK$5=$E72+1,$C72,""),"")</f>
        <v/>
      </c>
      <c r="BL72" s="34">
        <f>IF(AND(BL$5&gt;$E72,BL$5&lt;=$F72),IF(BL$5=$E72+1,$C72,""),"")</f>
        <v/>
      </c>
      <c r="BM72" s="34">
        <f>IF(AND(BM$5&gt;$E72,BM$5&lt;=$F72),IF(BM$5=$E72+1,$C72,""),"")</f>
        <v/>
      </c>
      <c r="BN72" s="34">
        <f>IF(AND(BN$5&gt;$E72,BN$5&lt;=$F72),IF(BN$5=$E72+1,$C72,""),"")</f>
        <v/>
      </c>
      <c r="BO72" s="34">
        <f>IF(AND(BO$5&gt;$E72,BO$5&lt;=$F72),IF(BO$5=$E72+1,$C72,""),"")</f>
        <v/>
      </c>
      <c r="BP72" s="34">
        <f>IF(AND(BP$5&gt;$E72,BP$5&lt;=$F72),IF(BP$5=$E72+1,$C72,""),"")</f>
        <v/>
      </c>
      <c r="BQ72" s="34">
        <f>IF(AND(BQ$5&gt;$E72,BQ$5&lt;=$F72),IF(BQ$5=$E72+1,$C72,""),"")</f>
        <v/>
      </c>
      <c r="BR72" s="34">
        <f>IF(AND(BR$5&gt;$E72,BR$5&lt;=$F72),IF(BR$5=$E72+1,$C72,""),"")</f>
        <v/>
      </c>
      <c r="BS72" s="34">
        <f>IF(AND(BS$5&gt;$E72,BS$5&lt;=$F72),IF(BS$5=$E72+1,$C72,""),"")</f>
        <v/>
      </c>
      <c r="BT72" s="34">
        <f>IF(AND(BT$5&gt;$E72,BT$5&lt;=$F72),IF(BT$5=$E72+1,$C72,""),"")</f>
        <v/>
      </c>
      <c r="BU72" s="34">
        <f>IF(AND(BU$5&gt;$E72,BU$5&lt;=$F72),IF(BU$5=$E72+1,$C72,""),"")</f>
        <v/>
      </c>
      <c r="BV72" s="34">
        <f>IF(AND(BV$5&gt;$E72,BV$5&lt;=$F72),IF(BV$5=$E72+1,$C72,""),"")</f>
        <v/>
      </c>
      <c r="BW72" s="34">
        <f>IF(AND(BW$5&gt;$E72,BW$5&lt;=$F72),IF(BW$5=$E72+1,$C72,""),"")</f>
        <v/>
      </c>
      <c r="BX72" s="34">
        <f>IF(AND(BX$5&gt;$E72,BX$5&lt;=$F72),IF(BX$5=$E72+1,$C72,""),"")</f>
        <v/>
      </c>
      <c r="BY72" s="34">
        <f>IF(AND(BY$5&gt;$E72,BY$5&lt;=$F72),IF(BY$5=$E72+1,$C72,""),"")</f>
        <v/>
      </c>
      <c r="BZ72" s="34">
        <f>IF(AND(BZ$5&gt;$E72,BZ$5&lt;=$F72),IF(BZ$5=$E72+1,$C72,""),"")</f>
        <v/>
      </c>
      <c r="CA72" s="34">
        <f>IF(AND(CA$5&gt;$E72,CA$5&lt;=$F72),IF(CA$5=$E72+1,$C72,""),"")</f>
        <v/>
      </c>
      <c r="CB72" s="34">
        <f>IF(AND(CB$5&gt;$E72,CB$5&lt;=$F72),IF(CB$5=$E72+1,$C72,""),"")</f>
        <v/>
      </c>
      <c r="CC72" s="34">
        <f>IF(AND(CC$5&gt;$E72,CC$5&lt;=$F72),IF(CC$5=$E72+1,$C72,""),"")</f>
        <v/>
      </c>
      <c r="CD72" s="34">
        <f>IF(AND(CD$5&gt;$E72,CD$5&lt;=$F72),IF(CD$5=$E72+1,$C72,""),"")</f>
        <v/>
      </c>
      <c r="CE72" s="34">
        <f>IF(AND(CE$5&gt;$E72,CE$5&lt;=$F72),IF(CE$5=$E72+1,$C72,""),"")</f>
        <v/>
      </c>
      <c r="CF72" s="34">
        <f>IF(AND(CF$5&gt;$E72,CF$5&lt;=$F72),IF(CF$5=$E72+1,$C72,""),"")</f>
        <v/>
      </c>
      <c r="CG72" s="34">
        <f>IF(AND(CG$5&gt;$E72,CG$5&lt;=$F72),IF(CG$5=$E72+1,$C72,""),"")</f>
        <v/>
      </c>
      <c r="CH72" s="34">
        <f>IF(AND(CH$5&gt;$E72,CH$5&lt;=$F72),IF(CH$5=$E72+1,$C72,""),"")</f>
        <v/>
      </c>
      <c r="CI72" s="34">
        <f>IF(AND(CI$5&gt;$E72,CI$5&lt;=$F72),IF(CI$5=$E72+1,$C72,""),"")</f>
        <v/>
      </c>
      <c r="CJ72" s="34">
        <f>IF(AND(CJ$5&gt;$E72,CJ$5&lt;=$F72),IF(CJ$5=$E72+1,$C72,""),"")</f>
        <v/>
      </c>
      <c r="CK72" s="34">
        <f>IF(AND(CK$5&gt;$E72,CK$5&lt;=$F72),IF(CK$5=$E72+1,$C72,""),"")</f>
        <v/>
      </c>
      <c r="CL72" s="34">
        <f>IF(AND(CL$5&gt;$E72,CL$5&lt;=$F72),IF(CL$5=$E72+1,$C72,""),"")</f>
        <v/>
      </c>
      <c r="CM72" s="34">
        <f>IF(AND(CM$5&gt;$E72,CM$5&lt;=$F72),IF(CM$5=$E72+1,$C72,""),"")</f>
        <v/>
      </c>
      <c r="CN72" s="34">
        <f>IF(AND(CN$5&gt;$E72,CN$5&lt;=$F72),IF(CN$5=$E72+1,$C72,""),"")</f>
        <v/>
      </c>
      <c r="CO72" s="34">
        <f>IF(AND(CO$5&gt;$E72,CO$5&lt;=$F72),IF(CO$5=$E72+1,$C72,""),"")</f>
        <v/>
      </c>
      <c r="CP72" s="34">
        <f>IF(AND(CP$5&gt;$E72,CP$5&lt;=$F72),IF(CP$5=$E72+1,$C72,""),"")</f>
        <v/>
      </c>
      <c r="CQ72" s="34">
        <f>IF(AND(CQ$5&gt;$E72,CQ$5&lt;=$F72),IF(CQ$5=$E72+1,$C72,""),"")</f>
        <v/>
      </c>
      <c r="CR72" s="34">
        <f>IF(AND(CR$5&gt;$E72,CR$5&lt;=$F72),IF(CR$5=$E72+1,$C72,""),"")</f>
        <v/>
      </c>
      <c r="CS72" s="34">
        <f>IF(AND(CS$5&gt;$E72,CS$5&lt;=$F72),IF(CS$5=$E72+1,$C72,""),"")</f>
        <v/>
      </c>
    </row>
    <row r="73">
      <c r="A73" s="32">
        <f>Plan!A63</f>
        <v/>
      </c>
      <c r="B73" s="33">
        <f>Plan!C63</f>
        <v/>
      </c>
      <c r="C73" s="16">
        <f>Plan!D63</f>
        <v/>
      </c>
      <c r="D73" s="16">
        <f>Plan!I63</f>
        <v/>
      </c>
      <c r="E73" s="16">
        <f>Plan!K63</f>
        <v/>
      </c>
      <c r="F73" s="16">
        <f>Plan!L63</f>
        <v/>
      </c>
      <c r="G73" s="16">
        <f>Plan!O63</f>
        <v/>
      </c>
      <c r="H73" s="34">
        <f>IF(AND(H$5&gt;$E73,H$5&lt;=$F73),IF(H$5=$E73+1,$C73,""),"")</f>
        <v/>
      </c>
      <c r="I73" s="34">
        <f>IF(AND(I$5&gt;$E73,I$5&lt;=$F73),IF(I$5=$E73+1,$C73,""),"")</f>
        <v/>
      </c>
      <c r="J73" s="34">
        <f>IF(AND(J$5&gt;$E73,J$5&lt;=$F73),IF(J$5=$E73+1,$C73,""),"")</f>
        <v/>
      </c>
      <c r="K73" s="34">
        <f>IF(AND(K$5&gt;$E73,K$5&lt;=$F73),IF(K$5=$E73+1,$C73,""),"")</f>
        <v/>
      </c>
      <c r="L73" s="34">
        <f>IF(AND(L$5&gt;$E73,L$5&lt;=$F73),IF(L$5=$E73+1,$C73,""),"")</f>
        <v/>
      </c>
      <c r="M73" s="34">
        <f>IF(AND(M$5&gt;$E73,M$5&lt;=$F73),IF(M$5=$E73+1,$C73,""),"")</f>
        <v/>
      </c>
      <c r="N73" s="34">
        <f>IF(AND(N$5&gt;$E73,N$5&lt;=$F73),IF(N$5=$E73+1,$C73,""),"")</f>
        <v/>
      </c>
      <c r="O73" s="34">
        <f>IF(AND(O$5&gt;$E73,O$5&lt;=$F73),IF(O$5=$E73+1,$C73,""),"")</f>
        <v/>
      </c>
      <c r="P73" s="34">
        <f>IF(AND(P$5&gt;$E73,P$5&lt;=$F73),IF(P$5=$E73+1,$C73,""),"")</f>
        <v/>
      </c>
      <c r="Q73" s="34">
        <f>IF(AND(Q$5&gt;$E73,Q$5&lt;=$F73),IF(Q$5=$E73+1,$C73,""),"")</f>
        <v/>
      </c>
      <c r="R73" s="34">
        <f>IF(AND(R$5&gt;$E73,R$5&lt;=$F73),IF(R$5=$E73+1,$C73,""),"")</f>
        <v/>
      </c>
      <c r="S73" s="34">
        <f>IF(AND(S$5&gt;$E73,S$5&lt;=$F73),IF(S$5=$E73+1,$C73,""),"")</f>
        <v/>
      </c>
      <c r="T73" s="34">
        <f>IF(AND(T$5&gt;$E73,T$5&lt;=$F73),IF(T$5=$E73+1,$C73,""),"")</f>
        <v/>
      </c>
      <c r="U73" s="34">
        <f>IF(AND(U$5&gt;$E73,U$5&lt;=$F73),IF(U$5=$E73+1,$C73,""),"")</f>
        <v/>
      </c>
      <c r="V73" s="34">
        <f>IF(AND(V$5&gt;$E73,V$5&lt;=$F73),IF(V$5=$E73+1,$C73,""),"")</f>
        <v/>
      </c>
      <c r="W73" s="34">
        <f>IF(AND(W$5&gt;$E73,W$5&lt;=$F73),IF(W$5=$E73+1,$C73,""),"")</f>
        <v/>
      </c>
      <c r="X73" s="34">
        <f>IF(AND(X$5&gt;$E73,X$5&lt;=$F73),IF(X$5=$E73+1,$C73,""),"")</f>
        <v/>
      </c>
      <c r="Y73" s="34">
        <f>IF(AND(Y$5&gt;$E73,Y$5&lt;=$F73),IF(Y$5=$E73+1,$C73,""),"")</f>
        <v/>
      </c>
      <c r="Z73" s="34">
        <f>IF(AND(Z$5&gt;$E73,Z$5&lt;=$F73),IF(Z$5=$E73+1,$C73,""),"")</f>
        <v/>
      </c>
      <c r="AA73" s="34">
        <f>IF(AND(AA$5&gt;$E73,AA$5&lt;=$F73),IF(AA$5=$E73+1,$C73,""),"")</f>
        <v/>
      </c>
      <c r="AB73" s="34">
        <f>IF(AND(AB$5&gt;$E73,AB$5&lt;=$F73),IF(AB$5=$E73+1,$C73,""),"")</f>
        <v/>
      </c>
      <c r="AC73" s="34">
        <f>IF(AND(AC$5&gt;$E73,AC$5&lt;=$F73),IF(AC$5=$E73+1,$C73,""),"")</f>
        <v/>
      </c>
      <c r="AD73" s="34">
        <f>IF(AND(AD$5&gt;$E73,AD$5&lt;=$F73),IF(AD$5=$E73+1,$C73,""),"")</f>
        <v/>
      </c>
      <c r="AE73" s="34">
        <f>IF(AND(AE$5&gt;$E73,AE$5&lt;=$F73),IF(AE$5=$E73+1,$C73,""),"")</f>
        <v/>
      </c>
      <c r="AF73" s="34">
        <f>IF(AND(AF$5&gt;$E73,AF$5&lt;=$F73),IF(AF$5=$E73+1,$C73,""),"")</f>
        <v/>
      </c>
      <c r="AG73" s="34">
        <f>IF(AND(AG$5&gt;$E73,AG$5&lt;=$F73),IF(AG$5=$E73+1,$C73,""),"")</f>
        <v/>
      </c>
      <c r="AH73" s="34">
        <f>IF(AND(AH$5&gt;$E73,AH$5&lt;=$F73),IF(AH$5=$E73+1,$C73,""),"")</f>
        <v/>
      </c>
      <c r="AI73" s="34">
        <f>IF(AND(AI$5&gt;$E73,AI$5&lt;=$F73),IF(AI$5=$E73+1,$C73,""),"")</f>
        <v/>
      </c>
      <c r="AJ73" s="34">
        <f>IF(AND(AJ$5&gt;$E73,AJ$5&lt;=$F73),IF(AJ$5=$E73+1,$C73,""),"")</f>
        <v/>
      </c>
      <c r="AK73" s="34">
        <f>IF(AND(AK$5&gt;$E73,AK$5&lt;=$F73),IF(AK$5=$E73+1,$C73,""),"")</f>
        <v/>
      </c>
      <c r="AL73" s="34">
        <f>IF(AND(AL$5&gt;$E73,AL$5&lt;=$F73),IF(AL$5=$E73+1,$C73,""),"")</f>
        <v/>
      </c>
      <c r="AM73" s="34">
        <f>IF(AND(AM$5&gt;$E73,AM$5&lt;=$F73),IF(AM$5=$E73+1,$C73,""),"")</f>
        <v/>
      </c>
      <c r="AN73" s="34">
        <f>IF(AND(AN$5&gt;$E73,AN$5&lt;=$F73),IF(AN$5=$E73+1,$C73,""),"")</f>
        <v/>
      </c>
      <c r="AO73" s="34">
        <f>IF(AND(AO$5&gt;$E73,AO$5&lt;=$F73),IF(AO$5=$E73+1,$C73,""),"")</f>
        <v/>
      </c>
      <c r="AP73" s="34">
        <f>IF(AND(AP$5&gt;$E73,AP$5&lt;=$F73),IF(AP$5=$E73+1,$C73,""),"")</f>
        <v/>
      </c>
      <c r="AQ73" s="34">
        <f>IF(AND(AQ$5&gt;$E73,AQ$5&lt;=$F73),IF(AQ$5=$E73+1,$C73,""),"")</f>
        <v/>
      </c>
      <c r="AR73" s="34">
        <f>IF(AND(AR$5&gt;$E73,AR$5&lt;=$F73),IF(AR$5=$E73+1,$C73,""),"")</f>
        <v/>
      </c>
      <c r="AS73" s="34">
        <f>IF(AND(AS$5&gt;$E73,AS$5&lt;=$F73),IF(AS$5=$E73+1,$C73,""),"")</f>
        <v/>
      </c>
      <c r="AT73" s="34">
        <f>IF(AND(AT$5&gt;$E73,AT$5&lt;=$F73),IF(AT$5=$E73+1,$C73,""),"")</f>
        <v/>
      </c>
      <c r="AU73" s="34">
        <f>IF(AND(AU$5&gt;$E73,AU$5&lt;=$F73),IF(AU$5=$E73+1,$C73,""),"")</f>
        <v/>
      </c>
      <c r="AV73" s="34">
        <f>IF(AND(AV$5&gt;$E73,AV$5&lt;=$F73),IF(AV$5=$E73+1,$C73,""),"")</f>
        <v/>
      </c>
      <c r="AW73" s="34">
        <f>IF(AND(AW$5&gt;$E73,AW$5&lt;=$F73),IF(AW$5=$E73+1,$C73,""),"")</f>
        <v/>
      </c>
      <c r="AX73" s="34">
        <f>IF(AND(AX$5&gt;$E73,AX$5&lt;=$F73),IF(AX$5=$E73+1,$C73,""),"")</f>
        <v/>
      </c>
      <c r="AY73" s="34">
        <f>IF(AND(AY$5&gt;$E73,AY$5&lt;=$F73),IF(AY$5=$E73+1,$C73,""),"")</f>
        <v/>
      </c>
      <c r="AZ73" s="34">
        <f>IF(AND(AZ$5&gt;$E73,AZ$5&lt;=$F73),IF(AZ$5=$E73+1,$C73,""),"")</f>
        <v/>
      </c>
      <c r="BA73" s="34">
        <f>IF(AND(BA$5&gt;$E73,BA$5&lt;=$F73),IF(BA$5=$E73+1,$C73,""),"")</f>
        <v/>
      </c>
      <c r="BB73" s="34">
        <f>IF(AND(BB$5&gt;$E73,BB$5&lt;=$F73),IF(BB$5=$E73+1,$C73,""),"")</f>
        <v/>
      </c>
      <c r="BC73" s="34">
        <f>IF(AND(BC$5&gt;$E73,BC$5&lt;=$F73),IF(BC$5=$E73+1,$C73,""),"")</f>
        <v/>
      </c>
      <c r="BD73" s="34">
        <f>IF(AND(BD$5&gt;$E73,BD$5&lt;=$F73),IF(BD$5=$E73+1,$C73,""),"")</f>
        <v/>
      </c>
      <c r="BE73" s="34">
        <f>IF(AND(BE$5&gt;$E73,BE$5&lt;=$F73),IF(BE$5=$E73+1,$C73,""),"")</f>
        <v/>
      </c>
      <c r="BF73" s="34">
        <f>IF(AND(BF$5&gt;$E73,BF$5&lt;=$F73),IF(BF$5=$E73+1,$C73,""),"")</f>
        <v/>
      </c>
      <c r="BG73" s="34">
        <f>IF(AND(BG$5&gt;$E73,BG$5&lt;=$F73),IF(BG$5=$E73+1,$C73,""),"")</f>
        <v/>
      </c>
      <c r="BH73" s="34">
        <f>IF(AND(BH$5&gt;$E73,BH$5&lt;=$F73),IF(BH$5=$E73+1,$C73,""),"")</f>
        <v/>
      </c>
      <c r="BI73" s="34">
        <f>IF(AND(BI$5&gt;$E73,BI$5&lt;=$F73),IF(BI$5=$E73+1,$C73,""),"")</f>
        <v/>
      </c>
      <c r="BJ73" s="34">
        <f>IF(AND(BJ$5&gt;$E73,BJ$5&lt;=$F73),IF(BJ$5=$E73+1,$C73,""),"")</f>
        <v/>
      </c>
      <c r="BK73" s="34">
        <f>IF(AND(BK$5&gt;$E73,BK$5&lt;=$F73),IF(BK$5=$E73+1,$C73,""),"")</f>
        <v/>
      </c>
      <c r="BL73" s="34">
        <f>IF(AND(BL$5&gt;$E73,BL$5&lt;=$F73),IF(BL$5=$E73+1,$C73,""),"")</f>
        <v/>
      </c>
      <c r="BM73" s="34">
        <f>IF(AND(BM$5&gt;$E73,BM$5&lt;=$F73),IF(BM$5=$E73+1,$C73,""),"")</f>
        <v/>
      </c>
      <c r="BN73" s="34">
        <f>IF(AND(BN$5&gt;$E73,BN$5&lt;=$F73),IF(BN$5=$E73+1,$C73,""),"")</f>
        <v/>
      </c>
      <c r="BO73" s="34">
        <f>IF(AND(BO$5&gt;$E73,BO$5&lt;=$F73),IF(BO$5=$E73+1,$C73,""),"")</f>
        <v/>
      </c>
      <c r="BP73" s="34">
        <f>IF(AND(BP$5&gt;$E73,BP$5&lt;=$F73),IF(BP$5=$E73+1,$C73,""),"")</f>
        <v/>
      </c>
      <c r="BQ73" s="34">
        <f>IF(AND(BQ$5&gt;$E73,BQ$5&lt;=$F73),IF(BQ$5=$E73+1,$C73,""),"")</f>
        <v/>
      </c>
      <c r="BR73" s="34">
        <f>IF(AND(BR$5&gt;$E73,BR$5&lt;=$F73),IF(BR$5=$E73+1,$C73,""),"")</f>
        <v/>
      </c>
      <c r="BS73" s="34">
        <f>IF(AND(BS$5&gt;$E73,BS$5&lt;=$F73),IF(BS$5=$E73+1,$C73,""),"")</f>
        <v/>
      </c>
      <c r="BT73" s="34">
        <f>IF(AND(BT$5&gt;$E73,BT$5&lt;=$F73),IF(BT$5=$E73+1,$C73,""),"")</f>
        <v/>
      </c>
      <c r="BU73" s="34">
        <f>IF(AND(BU$5&gt;$E73,BU$5&lt;=$F73),IF(BU$5=$E73+1,$C73,""),"")</f>
        <v/>
      </c>
      <c r="BV73" s="34">
        <f>IF(AND(BV$5&gt;$E73,BV$5&lt;=$F73),IF(BV$5=$E73+1,$C73,""),"")</f>
        <v/>
      </c>
      <c r="BW73" s="34">
        <f>IF(AND(BW$5&gt;$E73,BW$5&lt;=$F73),IF(BW$5=$E73+1,$C73,""),"")</f>
        <v/>
      </c>
      <c r="BX73" s="34">
        <f>IF(AND(BX$5&gt;$E73,BX$5&lt;=$F73),IF(BX$5=$E73+1,$C73,""),"")</f>
        <v/>
      </c>
      <c r="BY73" s="34">
        <f>IF(AND(BY$5&gt;$E73,BY$5&lt;=$F73),IF(BY$5=$E73+1,$C73,""),"")</f>
        <v/>
      </c>
      <c r="BZ73" s="34">
        <f>IF(AND(BZ$5&gt;$E73,BZ$5&lt;=$F73),IF(BZ$5=$E73+1,$C73,""),"")</f>
        <v/>
      </c>
      <c r="CA73" s="34">
        <f>IF(AND(CA$5&gt;$E73,CA$5&lt;=$F73),IF(CA$5=$E73+1,$C73,""),"")</f>
        <v/>
      </c>
      <c r="CB73" s="34">
        <f>IF(AND(CB$5&gt;$E73,CB$5&lt;=$F73),IF(CB$5=$E73+1,$C73,""),"")</f>
        <v/>
      </c>
      <c r="CC73" s="34">
        <f>IF(AND(CC$5&gt;$E73,CC$5&lt;=$F73),IF(CC$5=$E73+1,$C73,""),"")</f>
        <v/>
      </c>
      <c r="CD73" s="34">
        <f>IF(AND(CD$5&gt;$E73,CD$5&lt;=$F73),IF(CD$5=$E73+1,$C73,""),"")</f>
        <v/>
      </c>
      <c r="CE73" s="34">
        <f>IF(AND(CE$5&gt;$E73,CE$5&lt;=$F73),IF(CE$5=$E73+1,$C73,""),"")</f>
        <v/>
      </c>
      <c r="CF73" s="34">
        <f>IF(AND(CF$5&gt;$E73,CF$5&lt;=$F73),IF(CF$5=$E73+1,$C73,""),"")</f>
        <v/>
      </c>
      <c r="CG73" s="34">
        <f>IF(AND(CG$5&gt;$E73,CG$5&lt;=$F73),IF(CG$5=$E73+1,$C73,""),"")</f>
        <v/>
      </c>
      <c r="CH73" s="34">
        <f>IF(AND(CH$5&gt;$E73,CH$5&lt;=$F73),IF(CH$5=$E73+1,$C73,""),"")</f>
        <v/>
      </c>
      <c r="CI73" s="34">
        <f>IF(AND(CI$5&gt;$E73,CI$5&lt;=$F73),IF(CI$5=$E73+1,$C73,""),"")</f>
        <v/>
      </c>
      <c r="CJ73" s="34">
        <f>IF(AND(CJ$5&gt;$E73,CJ$5&lt;=$F73),IF(CJ$5=$E73+1,$C73,""),"")</f>
        <v/>
      </c>
      <c r="CK73" s="34">
        <f>IF(AND(CK$5&gt;$E73,CK$5&lt;=$F73),IF(CK$5=$E73+1,$C73,""),"")</f>
        <v/>
      </c>
      <c r="CL73" s="34">
        <f>IF(AND(CL$5&gt;$E73,CL$5&lt;=$F73),IF(CL$5=$E73+1,$C73,""),"")</f>
        <v/>
      </c>
      <c r="CM73" s="34">
        <f>IF(AND(CM$5&gt;$E73,CM$5&lt;=$F73),IF(CM$5=$E73+1,$C73,""),"")</f>
        <v/>
      </c>
      <c r="CN73" s="34">
        <f>IF(AND(CN$5&gt;$E73,CN$5&lt;=$F73),IF(CN$5=$E73+1,$C73,""),"")</f>
        <v/>
      </c>
      <c r="CO73" s="34">
        <f>IF(AND(CO$5&gt;$E73,CO$5&lt;=$F73),IF(CO$5=$E73+1,$C73,""),"")</f>
        <v/>
      </c>
      <c r="CP73" s="34">
        <f>IF(AND(CP$5&gt;$E73,CP$5&lt;=$F73),IF(CP$5=$E73+1,$C73,""),"")</f>
        <v/>
      </c>
      <c r="CQ73" s="34">
        <f>IF(AND(CQ$5&gt;$E73,CQ$5&lt;=$F73),IF(CQ$5=$E73+1,$C73,""),"")</f>
        <v/>
      </c>
      <c r="CR73" s="34">
        <f>IF(AND(CR$5&gt;$E73,CR$5&lt;=$F73),IF(CR$5=$E73+1,$C73,""),"")</f>
        <v/>
      </c>
      <c r="CS73" s="34">
        <f>IF(AND(CS$5&gt;$E73,CS$5&lt;=$F73),IF(CS$5=$E73+1,$C73,""),"")</f>
        <v/>
      </c>
    </row>
    <row r="74">
      <c r="A74" s="32">
        <f>Plan!A64</f>
        <v/>
      </c>
      <c r="B74" s="33">
        <f>Plan!C64</f>
        <v/>
      </c>
      <c r="C74" s="16">
        <f>Plan!D64</f>
        <v/>
      </c>
      <c r="D74" s="16">
        <f>Plan!I64</f>
        <v/>
      </c>
      <c r="E74" s="16">
        <f>Plan!K64</f>
        <v/>
      </c>
      <c r="F74" s="16">
        <f>Plan!L64</f>
        <v/>
      </c>
      <c r="G74" s="16">
        <f>Plan!O64</f>
        <v/>
      </c>
      <c r="H74" s="34">
        <f>IF(AND(H$5&gt;$E74,H$5&lt;=$F74),IF(H$5=$E74+1,$C74,""),"")</f>
        <v/>
      </c>
      <c r="I74" s="34">
        <f>IF(AND(I$5&gt;$E74,I$5&lt;=$F74),IF(I$5=$E74+1,$C74,""),"")</f>
        <v/>
      </c>
      <c r="J74" s="34">
        <f>IF(AND(J$5&gt;$E74,J$5&lt;=$F74),IF(J$5=$E74+1,$C74,""),"")</f>
        <v/>
      </c>
      <c r="K74" s="34">
        <f>IF(AND(K$5&gt;$E74,K$5&lt;=$F74),IF(K$5=$E74+1,$C74,""),"")</f>
        <v/>
      </c>
      <c r="L74" s="34">
        <f>IF(AND(L$5&gt;$E74,L$5&lt;=$F74),IF(L$5=$E74+1,$C74,""),"")</f>
        <v/>
      </c>
      <c r="M74" s="34">
        <f>IF(AND(M$5&gt;$E74,M$5&lt;=$F74),IF(M$5=$E74+1,$C74,""),"")</f>
        <v/>
      </c>
      <c r="N74" s="34">
        <f>IF(AND(N$5&gt;$E74,N$5&lt;=$F74),IF(N$5=$E74+1,$C74,""),"")</f>
        <v/>
      </c>
      <c r="O74" s="34">
        <f>IF(AND(O$5&gt;$E74,O$5&lt;=$F74),IF(O$5=$E74+1,$C74,""),"")</f>
        <v/>
      </c>
      <c r="P74" s="34">
        <f>IF(AND(P$5&gt;$E74,P$5&lt;=$F74),IF(P$5=$E74+1,$C74,""),"")</f>
        <v/>
      </c>
      <c r="Q74" s="34">
        <f>IF(AND(Q$5&gt;$E74,Q$5&lt;=$F74),IF(Q$5=$E74+1,$C74,""),"")</f>
        <v/>
      </c>
      <c r="R74" s="34">
        <f>IF(AND(R$5&gt;$E74,R$5&lt;=$F74),IF(R$5=$E74+1,$C74,""),"")</f>
        <v/>
      </c>
      <c r="S74" s="34">
        <f>IF(AND(S$5&gt;$E74,S$5&lt;=$F74),IF(S$5=$E74+1,$C74,""),"")</f>
        <v/>
      </c>
      <c r="T74" s="34">
        <f>IF(AND(T$5&gt;$E74,T$5&lt;=$F74),IF(T$5=$E74+1,$C74,""),"")</f>
        <v/>
      </c>
      <c r="U74" s="34">
        <f>IF(AND(U$5&gt;$E74,U$5&lt;=$F74),IF(U$5=$E74+1,$C74,""),"")</f>
        <v/>
      </c>
      <c r="V74" s="34">
        <f>IF(AND(V$5&gt;$E74,V$5&lt;=$F74),IF(V$5=$E74+1,$C74,""),"")</f>
        <v/>
      </c>
      <c r="W74" s="34">
        <f>IF(AND(W$5&gt;$E74,W$5&lt;=$F74),IF(W$5=$E74+1,$C74,""),"")</f>
        <v/>
      </c>
      <c r="X74" s="34">
        <f>IF(AND(X$5&gt;$E74,X$5&lt;=$F74),IF(X$5=$E74+1,$C74,""),"")</f>
        <v/>
      </c>
      <c r="Y74" s="34">
        <f>IF(AND(Y$5&gt;$E74,Y$5&lt;=$F74),IF(Y$5=$E74+1,$C74,""),"")</f>
        <v/>
      </c>
      <c r="Z74" s="34">
        <f>IF(AND(Z$5&gt;$E74,Z$5&lt;=$F74),IF(Z$5=$E74+1,$C74,""),"")</f>
        <v/>
      </c>
      <c r="AA74" s="34">
        <f>IF(AND(AA$5&gt;$E74,AA$5&lt;=$F74),IF(AA$5=$E74+1,$C74,""),"")</f>
        <v/>
      </c>
      <c r="AB74" s="34">
        <f>IF(AND(AB$5&gt;$E74,AB$5&lt;=$F74),IF(AB$5=$E74+1,$C74,""),"")</f>
        <v/>
      </c>
      <c r="AC74" s="34">
        <f>IF(AND(AC$5&gt;$E74,AC$5&lt;=$F74),IF(AC$5=$E74+1,$C74,""),"")</f>
        <v/>
      </c>
      <c r="AD74" s="34">
        <f>IF(AND(AD$5&gt;$E74,AD$5&lt;=$F74),IF(AD$5=$E74+1,$C74,""),"")</f>
        <v/>
      </c>
      <c r="AE74" s="34">
        <f>IF(AND(AE$5&gt;$E74,AE$5&lt;=$F74),IF(AE$5=$E74+1,$C74,""),"")</f>
        <v/>
      </c>
      <c r="AF74" s="34">
        <f>IF(AND(AF$5&gt;$E74,AF$5&lt;=$F74),IF(AF$5=$E74+1,$C74,""),"")</f>
        <v/>
      </c>
      <c r="AG74" s="34">
        <f>IF(AND(AG$5&gt;$E74,AG$5&lt;=$F74),IF(AG$5=$E74+1,$C74,""),"")</f>
        <v/>
      </c>
      <c r="AH74" s="34">
        <f>IF(AND(AH$5&gt;$E74,AH$5&lt;=$F74),IF(AH$5=$E74+1,$C74,""),"")</f>
        <v/>
      </c>
      <c r="AI74" s="34">
        <f>IF(AND(AI$5&gt;$E74,AI$5&lt;=$F74),IF(AI$5=$E74+1,$C74,""),"")</f>
        <v/>
      </c>
      <c r="AJ74" s="34">
        <f>IF(AND(AJ$5&gt;$E74,AJ$5&lt;=$F74),IF(AJ$5=$E74+1,$C74,""),"")</f>
        <v/>
      </c>
      <c r="AK74" s="34">
        <f>IF(AND(AK$5&gt;$E74,AK$5&lt;=$F74),IF(AK$5=$E74+1,$C74,""),"")</f>
        <v/>
      </c>
      <c r="AL74" s="34">
        <f>IF(AND(AL$5&gt;$E74,AL$5&lt;=$F74),IF(AL$5=$E74+1,$C74,""),"")</f>
        <v/>
      </c>
      <c r="AM74" s="34">
        <f>IF(AND(AM$5&gt;$E74,AM$5&lt;=$F74),IF(AM$5=$E74+1,$C74,""),"")</f>
        <v/>
      </c>
      <c r="AN74" s="34">
        <f>IF(AND(AN$5&gt;$E74,AN$5&lt;=$F74),IF(AN$5=$E74+1,$C74,""),"")</f>
        <v/>
      </c>
      <c r="AO74" s="34">
        <f>IF(AND(AO$5&gt;$E74,AO$5&lt;=$F74),IF(AO$5=$E74+1,$C74,""),"")</f>
        <v/>
      </c>
      <c r="AP74" s="34">
        <f>IF(AND(AP$5&gt;$E74,AP$5&lt;=$F74),IF(AP$5=$E74+1,$C74,""),"")</f>
        <v/>
      </c>
      <c r="AQ74" s="34">
        <f>IF(AND(AQ$5&gt;$E74,AQ$5&lt;=$F74),IF(AQ$5=$E74+1,$C74,""),"")</f>
        <v/>
      </c>
      <c r="AR74" s="34">
        <f>IF(AND(AR$5&gt;$E74,AR$5&lt;=$F74),IF(AR$5=$E74+1,$C74,""),"")</f>
        <v/>
      </c>
      <c r="AS74" s="34">
        <f>IF(AND(AS$5&gt;$E74,AS$5&lt;=$F74),IF(AS$5=$E74+1,$C74,""),"")</f>
        <v/>
      </c>
      <c r="AT74" s="34">
        <f>IF(AND(AT$5&gt;$E74,AT$5&lt;=$F74),IF(AT$5=$E74+1,$C74,""),"")</f>
        <v/>
      </c>
      <c r="AU74" s="34">
        <f>IF(AND(AU$5&gt;$E74,AU$5&lt;=$F74),IF(AU$5=$E74+1,$C74,""),"")</f>
        <v/>
      </c>
      <c r="AV74" s="34">
        <f>IF(AND(AV$5&gt;$E74,AV$5&lt;=$F74),IF(AV$5=$E74+1,$C74,""),"")</f>
        <v/>
      </c>
      <c r="AW74" s="34">
        <f>IF(AND(AW$5&gt;$E74,AW$5&lt;=$F74),IF(AW$5=$E74+1,$C74,""),"")</f>
        <v/>
      </c>
      <c r="AX74" s="34">
        <f>IF(AND(AX$5&gt;$E74,AX$5&lt;=$F74),IF(AX$5=$E74+1,$C74,""),"")</f>
        <v/>
      </c>
      <c r="AY74" s="34">
        <f>IF(AND(AY$5&gt;$E74,AY$5&lt;=$F74),IF(AY$5=$E74+1,$C74,""),"")</f>
        <v/>
      </c>
      <c r="AZ74" s="34">
        <f>IF(AND(AZ$5&gt;$E74,AZ$5&lt;=$F74),IF(AZ$5=$E74+1,$C74,""),"")</f>
        <v/>
      </c>
      <c r="BA74" s="34">
        <f>IF(AND(BA$5&gt;$E74,BA$5&lt;=$F74),IF(BA$5=$E74+1,$C74,""),"")</f>
        <v/>
      </c>
      <c r="BB74" s="34">
        <f>IF(AND(BB$5&gt;$E74,BB$5&lt;=$F74),IF(BB$5=$E74+1,$C74,""),"")</f>
        <v/>
      </c>
      <c r="BC74" s="34">
        <f>IF(AND(BC$5&gt;$E74,BC$5&lt;=$F74),IF(BC$5=$E74+1,$C74,""),"")</f>
        <v/>
      </c>
      <c r="BD74" s="34">
        <f>IF(AND(BD$5&gt;$E74,BD$5&lt;=$F74),IF(BD$5=$E74+1,$C74,""),"")</f>
        <v/>
      </c>
      <c r="BE74" s="34">
        <f>IF(AND(BE$5&gt;$E74,BE$5&lt;=$F74),IF(BE$5=$E74+1,$C74,""),"")</f>
        <v/>
      </c>
      <c r="BF74" s="34">
        <f>IF(AND(BF$5&gt;$E74,BF$5&lt;=$F74),IF(BF$5=$E74+1,$C74,""),"")</f>
        <v/>
      </c>
      <c r="BG74" s="34">
        <f>IF(AND(BG$5&gt;$E74,BG$5&lt;=$F74),IF(BG$5=$E74+1,$C74,""),"")</f>
        <v/>
      </c>
      <c r="BH74" s="34">
        <f>IF(AND(BH$5&gt;$E74,BH$5&lt;=$F74),IF(BH$5=$E74+1,$C74,""),"")</f>
        <v/>
      </c>
      <c r="BI74" s="34">
        <f>IF(AND(BI$5&gt;$E74,BI$5&lt;=$F74),IF(BI$5=$E74+1,$C74,""),"")</f>
        <v/>
      </c>
      <c r="BJ74" s="34">
        <f>IF(AND(BJ$5&gt;$E74,BJ$5&lt;=$F74),IF(BJ$5=$E74+1,$C74,""),"")</f>
        <v/>
      </c>
      <c r="BK74" s="34">
        <f>IF(AND(BK$5&gt;$E74,BK$5&lt;=$F74),IF(BK$5=$E74+1,$C74,""),"")</f>
        <v/>
      </c>
      <c r="BL74" s="34">
        <f>IF(AND(BL$5&gt;$E74,BL$5&lt;=$F74),IF(BL$5=$E74+1,$C74,""),"")</f>
        <v/>
      </c>
      <c r="BM74" s="34">
        <f>IF(AND(BM$5&gt;$E74,BM$5&lt;=$F74),IF(BM$5=$E74+1,$C74,""),"")</f>
        <v/>
      </c>
      <c r="BN74" s="34">
        <f>IF(AND(BN$5&gt;$E74,BN$5&lt;=$F74),IF(BN$5=$E74+1,$C74,""),"")</f>
        <v/>
      </c>
      <c r="BO74" s="34">
        <f>IF(AND(BO$5&gt;$E74,BO$5&lt;=$F74),IF(BO$5=$E74+1,$C74,""),"")</f>
        <v/>
      </c>
      <c r="BP74" s="34">
        <f>IF(AND(BP$5&gt;$E74,BP$5&lt;=$F74),IF(BP$5=$E74+1,$C74,""),"")</f>
        <v/>
      </c>
      <c r="BQ74" s="34">
        <f>IF(AND(BQ$5&gt;$E74,BQ$5&lt;=$F74),IF(BQ$5=$E74+1,$C74,""),"")</f>
        <v/>
      </c>
      <c r="BR74" s="34">
        <f>IF(AND(BR$5&gt;$E74,BR$5&lt;=$F74),IF(BR$5=$E74+1,$C74,""),"")</f>
        <v/>
      </c>
      <c r="BS74" s="34">
        <f>IF(AND(BS$5&gt;$E74,BS$5&lt;=$F74),IF(BS$5=$E74+1,$C74,""),"")</f>
        <v/>
      </c>
      <c r="BT74" s="34">
        <f>IF(AND(BT$5&gt;$E74,BT$5&lt;=$F74),IF(BT$5=$E74+1,$C74,""),"")</f>
        <v/>
      </c>
      <c r="BU74" s="34">
        <f>IF(AND(BU$5&gt;$E74,BU$5&lt;=$F74),IF(BU$5=$E74+1,$C74,""),"")</f>
        <v/>
      </c>
      <c r="BV74" s="34">
        <f>IF(AND(BV$5&gt;$E74,BV$5&lt;=$F74),IF(BV$5=$E74+1,$C74,""),"")</f>
        <v/>
      </c>
      <c r="BW74" s="34">
        <f>IF(AND(BW$5&gt;$E74,BW$5&lt;=$F74),IF(BW$5=$E74+1,$C74,""),"")</f>
        <v/>
      </c>
      <c r="BX74" s="34">
        <f>IF(AND(BX$5&gt;$E74,BX$5&lt;=$F74),IF(BX$5=$E74+1,$C74,""),"")</f>
        <v/>
      </c>
      <c r="BY74" s="34">
        <f>IF(AND(BY$5&gt;$E74,BY$5&lt;=$F74),IF(BY$5=$E74+1,$C74,""),"")</f>
        <v/>
      </c>
      <c r="BZ74" s="34">
        <f>IF(AND(BZ$5&gt;$E74,BZ$5&lt;=$F74),IF(BZ$5=$E74+1,$C74,""),"")</f>
        <v/>
      </c>
      <c r="CA74" s="34">
        <f>IF(AND(CA$5&gt;$E74,CA$5&lt;=$F74),IF(CA$5=$E74+1,$C74,""),"")</f>
        <v/>
      </c>
      <c r="CB74" s="34">
        <f>IF(AND(CB$5&gt;$E74,CB$5&lt;=$F74),IF(CB$5=$E74+1,$C74,""),"")</f>
        <v/>
      </c>
      <c r="CC74" s="34">
        <f>IF(AND(CC$5&gt;$E74,CC$5&lt;=$F74),IF(CC$5=$E74+1,$C74,""),"")</f>
        <v/>
      </c>
      <c r="CD74" s="34">
        <f>IF(AND(CD$5&gt;$E74,CD$5&lt;=$F74),IF(CD$5=$E74+1,$C74,""),"")</f>
        <v/>
      </c>
      <c r="CE74" s="34">
        <f>IF(AND(CE$5&gt;$E74,CE$5&lt;=$F74),IF(CE$5=$E74+1,$C74,""),"")</f>
        <v/>
      </c>
      <c r="CF74" s="34">
        <f>IF(AND(CF$5&gt;$E74,CF$5&lt;=$F74),IF(CF$5=$E74+1,$C74,""),"")</f>
        <v/>
      </c>
      <c r="CG74" s="34">
        <f>IF(AND(CG$5&gt;$E74,CG$5&lt;=$F74),IF(CG$5=$E74+1,$C74,""),"")</f>
        <v/>
      </c>
      <c r="CH74" s="34">
        <f>IF(AND(CH$5&gt;$E74,CH$5&lt;=$F74),IF(CH$5=$E74+1,$C74,""),"")</f>
        <v/>
      </c>
      <c r="CI74" s="34">
        <f>IF(AND(CI$5&gt;$E74,CI$5&lt;=$F74),IF(CI$5=$E74+1,$C74,""),"")</f>
        <v/>
      </c>
      <c r="CJ74" s="34">
        <f>IF(AND(CJ$5&gt;$E74,CJ$5&lt;=$F74),IF(CJ$5=$E74+1,$C74,""),"")</f>
        <v/>
      </c>
      <c r="CK74" s="34">
        <f>IF(AND(CK$5&gt;$E74,CK$5&lt;=$F74),IF(CK$5=$E74+1,$C74,""),"")</f>
        <v/>
      </c>
      <c r="CL74" s="34">
        <f>IF(AND(CL$5&gt;$E74,CL$5&lt;=$F74),IF(CL$5=$E74+1,$C74,""),"")</f>
        <v/>
      </c>
      <c r="CM74" s="34">
        <f>IF(AND(CM$5&gt;$E74,CM$5&lt;=$F74),IF(CM$5=$E74+1,$C74,""),"")</f>
        <v/>
      </c>
      <c r="CN74" s="34">
        <f>IF(AND(CN$5&gt;$E74,CN$5&lt;=$F74),IF(CN$5=$E74+1,$C74,""),"")</f>
        <v/>
      </c>
      <c r="CO74" s="34">
        <f>IF(AND(CO$5&gt;$E74,CO$5&lt;=$F74),IF(CO$5=$E74+1,$C74,""),"")</f>
        <v/>
      </c>
      <c r="CP74" s="34">
        <f>IF(AND(CP$5&gt;$E74,CP$5&lt;=$F74),IF(CP$5=$E74+1,$C74,""),"")</f>
        <v/>
      </c>
      <c r="CQ74" s="34">
        <f>IF(AND(CQ$5&gt;$E74,CQ$5&lt;=$F74),IF(CQ$5=$E74+1,$C74,""),"")</f>
        <v/>
      </c>
      <c r="CR74" s="34">
        <f>IF(AND(CR$5&gt;$E74,CR$5&lt;=$F74),IF(CR$5=$E74+1,$C74,""),"")</f>
        <v/>
      </c>
      <c r="CS74" s="34">
        <f>IF(AND(CS$5&gt;$E74,CS$5&lt;=$F74),IF(CS$5=$E74+1,$C74,""),"")</f>
        <v/>
      </c>
    </row>
    <row r="75">
      <c r="A75" s="32">
        <f>Plan!A65</f>
        <v/>
      </c>
      <c r="B75" s="33">
        <f>Plan!C65</f>
        <v/>
      </c>
      <c r="C75" s="16">
        <f>Plan!D65</f>
        <v/>
      </c>
      <c r="D75" s="16">
        <f>Plan!I65</f>
        <v/>
      </c>
      <c r="E75" s="16">
        <f>Plan!K65</f>
        <v/>
      </c>
      <c r="F75" s="16">
        <f>Plan!L65</f>
        <v/>
      </c>
      <c r="G75" s="16">
        <f>Plan!O65</f>
        <v/>
      </c>
      <c r="H75" s="34">
        <f>IF(AND(H$5&gt;$E75,H$5&lt;=$F75),IF(H$5=$E75+1,$C75,""),"")</f>
        <v/>
      </c>
      <c r="I75" s="34">
        <f>IF(AND(I$5&gt;$E75,I$5&lt;=$F75),IF(I$5=$E75+1,$C75,""),"")</f>
        <v/>
      </c>
      <c r="J75" s="34">
        <f>IF(AND(J$5&gt;$E75,J$5&lt;=$F75),IF(J$5=$E75+1,$C75,""),"")</f>
        <v/>
      </c>
      <c r="K75" s="34">
        <f>IF(AND(K$5&gt;$E75,K$5&lt;=$F75),IF(K$5=$E75+1,$C75,""),"")</f>
        <v/>
      </c>
      <c r="L75" s="34">
        <f>IF(AND(L$5&gt;$E75,L$5&lt;=$F75),IF(L$5=$E75+1,$C75,""),"")</f>
        <v/>
      </c>
      <c r="M75" s="34">
        <f>IF(AND(M$5&gt;$E75,M$5&lt;=$F75),IF(M$5=$E75+1,$C75,""),"")</f>
        <v/>
      </c>
      <c r="N75" s="34">
        <f>IF(AND(N$5&gt;$E75,N$5&lt;=$F75),IF(N$5=$E75+1,$C75,""),"")</f>
        <v/>
      </c>
      <c r="O75" s="34">
        <f>IF(AND(O$5&gt;$E75,O$5&lt;=$F75),IF(O$5=$E75+1,$C75,""),"")</f>
        <v/>
      </c>
      <c r="P75" s="34">
        <f>IF(AND(P$5&gt;$E75,P$5&lt;=$F75),IF(P$5=$E75+1,$C75,""),"")</f>
        <v/>
      </c>
      <c r="Q75" s="34">
        <f>IF(AND(Q$5&gt;$E75,Q$5&lt;=$F75),IF(Q$5=$E75+1,$C75,""),"")</f>
        <v/>
      </c>
      <c r="R75" s="34">
        <f>IF(AND(R$5&gt;$E75,R$5&lt;=$F75),IF(R$5=$E75+1,$C75,""),"")</f>
        <v/>
      </c>
      <c r="S75" s="34">
        <f>IF(AND(S$5&gt;$E75,S$5&lt;=$F75),IF(S$5=$E75+1,$C75,""),"")</f>
        <v/>
      </c>
      <c r="T75" s="34">
        <f>IF(AND(T$5&gt;$E75,T$5&lt;=$F75),IF(T$5=$E75+1,$C75,""),"")</f>
        <v/>
      </c>
      <c r="U75" s="34">
        <f>IF(AND(U$5&gt;$E75,U$5&lt;=$F75),IF(U$5=$E75+1,$C75,""),"")</f>
        <v/>
      </c>
      <c r="V75" s="34">
        <f>IF(AND(V$5&gt;$E75,V$5&lt;=$F75),IF(V$5=$E75+1,$C75,""),"")</f>
        <v/>
      </c>
      <c r="W75" s="34">
        <f>IF(AND(W$5&gt;$E75,W$5&lt;=$F75),IF(W$5=$E75+1,$C75,""),"")</f>
        <v/>
      </c>
      <c r="X75" s="34">
        <f>IF(AND(X$5&gt;$E75,X$5&lt;=$F75),IF(X$5=$E75+1,$C75,""),"")</f>
        <v/>
      </c>
      <c r="Y75" s="34">
        <f>IF(AND(Y$5&gt;$E75,Y$5&lt;=$F75),IF(Y$5=$E75+1,$C75,""),"")</f>
        <v/>
      </c>
      <c r="Z75" s="34">
        <f>IF(AND(Z$5&gt;$E75,Z$5&lt;=$F75),IF(Z$5=$E75+1,$C75,""),"")</f>
        <v/>
      </c>
      <c r="AA75" s="34">
        <f>IF(AND(AA$5&gt;$E75,AA$5&lt;=$F75),IF(AA$5=$E75+1,$C75,""),"")</f>
        <v/>
      </c>
      <c r="AB75" s="34">
        <f>IF(AND(AB$5&gt;$E75,AB$5&lt;=$F75),IF(AB$5=$E75+1,$C75,""),"")</f>
        <v/>
      </c>
      <c r="AC75" s="34">
        <f>IF(AND(AC$5&gt;$E75,AC$5&lt;=$F75),IF(AC$5=$E75+1,$C75,""),"")</f>
        <v/>
      </c>
      <c r="AD75" s="34">
        <f>IF(AND(AD$5&gt;$E75,AD$5&lt;=$F75),IF(AD$5=$E75+1,$C75,""),"")</f>
        <v/>
      </c>
      <c r="AE75" s="34">
        <f>IF(AND(AE$5&gt;$E75,AE$5&lt;=$F75),IF(AE$5=$E75+1,$C75,""),"")</f>
        <v/>
      </c>
      <c r="AF75" s="34">
        <f>IF(AND(AF$5&gt;$E75,AF$5&lt;=$F75),IF(AF$5=$E75+1,$C75,""),"")</f>
        <v/>
      </c>
      <c r="AG75" s="34">
        <f>IF(AND(AG$5&gt;$E75,AG$5&lt;=$F75),IF(AG$5=$E75+1,$C75,""),"")</f>
        <v/>
      </c>
      <c r="AH75" s="34">
        <f>IF(AND(AH$5&gt;$E75,AH$5&lt;=$F75),IF(AH$5=$E75+1,$C75,""),"")</f>
        <v/>
      </c>
      <c r="AI75" s="34">
        <f>IF(AND(AI$5&gt;$E75,AI$5&lt;=$F75),IF(AI$5=$E75+1,$C75,""),"")</f>
        <v/>
      </c>
      <c r="AJ75" s="34">
        <f>IF(AND(AJ$5&gt;$E75,AJ$5&lt;=$F75),IF(AJ$5=$E75+1,$C75,""),"")</f>
        <v/>
      </c>
      <c r="AK75" s="34">
        <f>IF(AND(AK$5&gt;$E75,AK$5&lt;=$F75),IF(AK$5=$E75+1,$C75,""),"")</f>
        <v/>
      </c>
      <c r="AL75" s="34">
        <f>IF(AND(AL$5&gt;$E75,AL$5&lt;=$F75),IF(AL$5=$E75+1,$C75,""),"")</f>
        <v/>
      </c>
      <c r="AM75" s="34">
        <f>IF(AND(AM$5&gt;$E75,AM$5&lt;=$F75),IF(AM$5=$E75+1,$C75,""),"")</f>
        <v/>
      </c>
      <c r="AN75" s="34">
        <f>IF(AND(AN$5&gt;$E75,AN$5&lt;=$F75),IF(AN$5=$E75+1,$C75,""),"")</f>
        <v/>
      </c>
      <c r="AO75" s="34">
        <f>IF(AND(AO$5&gt;$E75,AO$5&lt;=$F75),IF(AO$5=$E75+1,$C75,""),"")</f>
        <v/>
      </c>
      <c r="AP75" s="34">
        <f>IF(AND(AP$5&gt;$E75,AP$5&lt;=$F75),IF(AP$5=$E75+1,$C75,""),"")</f>
        <v/>
      </c>
      <c r="AQ75" s="34">
        <f>IF(AND(AQ$5&gt;$E75,AQ$5&lt;=$F75),IF(AQ$5=$E75+1,$C75,""),"")</f>
        <v/>
      </c>
      <c r="AR75" s="34">
        <f>IF(AND(AR$5&gt;$E75,AR$5&lt;=$F75),IF(AR$5=$E75+1,$C75,""),"")</f>
        <v/>
      </c>
      <c r="AS75" s="34">
        <f>IF(AND(AS$5&gt;$E75,AS$5&lt;=$F75),IF(AS$5=$E75+1,$C75,""),"")</f>
        <v/>
      </c>
      <c r="AT75" s="34">
        <f>IF(AND(AT$5&gt;$E75,AT$5&lt;=$F75),IF(AT$5=$E75+1,$C75,""),"")</f>
        <v/>
      </c>
      <c r="AU75" s="34">
        <f>IF(AND(AU$5&gt;$E75,AU$5&lt;=$F75),IF(AU$5=$E75+1,$C75,""),"")</f>
        <v/>
      </c>
      <c r="AV75" s="34">
        <f>IF(AND(AV$5&gt;$E75,AV$5&lt;=$F75),IF(AV$5=$E75+1,$C75,""),"")</f>
        <v/>
      </c>
      <c r="AW75" s="34">
        <f>IF(AND(AW$5&gt;$E75,AW$5&lt;=$F75),IF(AW$5=$E75+1,$C75,""),"")</f>
        <v/>
      </c>
      <c r="AX75" s="34">
        <f>IF(AND(AX$5&gt;$E75,AX$5&lt;=$F75),IF(AX$5=$E75+1,$C75,""),"")</f>
        <v/>
      </c>
      <c r="AY75" s="34">
        <f>IF(AND(AY$5&gt;$E75,AY$5&lt;=$F75),IF(AY$5=$E75+1,$C75,""),"")</f>
        <v/>
      </c>
      <c r="AZ75" s="34">
        <f>IF(AND(AZ$5&gt;$E75,AZ$5&lt;=$F75),IF(AZ$5=$E75+1,$C75,""),"")</f>
        <v/>
      </c>
      <c r="BA75" s="34">
        <f>IF(AND(BA$5&gt;$E75,BA$5&lt;=$F75),IF(BA$5=$E75+1,$C75,""),"")</f>
        <v/>
      </c>
      <c r="BB75" s="34">
        <f>IF(AND(BB$5&gt;$E75,BB$5&lt;=$F75),IF(BB$5=$E75+1,$C75,""),"")</f>
        <v/>
      </c>
      <c r="BC75" s="34">
        <f>IF(AND(BC$5&gt;$E75,BC$5&lt;=$F75),IF(BC$5=$E75+1,$C75,""),"")</f>
        <v/>
      </c>
      <c r="BD75" s="34">
        <f>IF(AND(BD$5&gt;$E75,BD$5&lt;=$F75),IF(BD$5=$E75+1,$C75,""),"")</f>
        <v/>
      </c>
      <c r="BE75" s="34">
        <f>IF(AND(BE$5&gt;$E75,BE$5&lt;=$F75),IF(BE$5=$E75+1,$C75,""),"")</f>
        <v/>
      </c>
      <c r="BF75" s="34">
        <f>IF(AND(BF$5&gt;$E75,BF$5&lt;=$F75),IF(BF$5=$E75+1,$C75,""),"")</f>
        <v/>
      </c>
      <c r="BG75" s="34">
        <f>IF(AND(BG$5&gt;$E75,BG$5&lt;=$F75),IF(BG$5=$E75+1,$C75,""),"")</f>
        <v/>
      </c>
      <c r="BH75" s="34">
        <f>IF(AND(BH$5&gt;$E75,BH$5&lt;=$F75),IF(BH$5=$E75+1,$C75,""),"")</f>
        <v/>
      </c>
      <c r="BI75" s="34">
        <f>IF(AND(BI$5&gt;$E75,BI$5&lt;=$F75),IF(BI$5=$E75+1,$C75,""),"")</f>
        <v/>
      </c>
      <c r="BJ75" s="34">
        <f>IF(AND(BJ$5&gt;$E75,BJ$5&lt;=$F75),IF(BJ$5=$E75+1,$C75,""),"")</f>
        <v/>
      </c>
      <c r="BK75" s="34">
        <f>IF(AND(BK$5&gt;$E75,BK$5&lt;=$F75),IF(BK$5=$E75+1,$C75,""),"")</f>
        <v/>
      </c>
      <c r="BL75" s="34">
        <f>IF(AND(BL$5&gt;$E75,BL$5&lt;=$F75),IF(BL$5=$E75+1,$C75,""),"")</f>
        <v/>
      </c>
      <c r="BM75" s="34">
        <f>IF(AND(BM$5&gt;$E75,BM$5&lt;=$F75),IF(BM$5=$E75+1,$C75,""),"")</f>
        <v/>
      </c>
      <c r="BN75" s="34">
        <f>IF(AND(BN$5&gt;$E75,BN$5&lt;=$F75),IF(BN$5=$E75+1,$C75,""),"")</f>
        <v/>
      </c>
      <c r="BO75" s="34">
        <f>IF(AND(BO$5&gt;$E75,BO$5&lt;=$F75),IF(BO$5=$E75+1,$C75,""),"")</f>
        <v/>
      </c>
      <c r="BP75" s="34">
        <f>IF(AND(BP$5&gt;$E75,BP$5&lt;=$F75),IF(BP$5=$E75+1,$C75,""),"")</f>
        <v/>
      </c>
      <c r="BQ75" s="34">
        <f>IF(AND(BQ$5&gt;$E75,BQ$5&lt;=$F75),IF(BQ$5=$E75+1,$C75,""),"")</f>
        <v/>
      </c>
      <c r="BR75" s="34">
        <f>IF(AND(BR$5&gt;$E75,BR$5&lt;=$F75),IF(BR$5=$E75+1,$C75,""),"")</f>
        <v/>
      </c>
      <c r="BS75" s="34">
        <f>IF(AND(BS$5&gt;$E75,BS$5&lt;=$F75),IF(BS$5=$E75+1,$C75,""),"")</f>
        <v/>
      </c>
      <c r="BT75" s="34">
        <f>IF(AND(BT$5&gt;$E75,BT$5&lt;=$F75),IF(BT$5=$E75+1,$C75,""),"")</f>
        <v/>
      </c>
      <c r="BU75" s="34">
        <f>IF(AND(BU$5&gt;$E75,BU$5&lt;=$F75),IF(BU$5=$E75+1,$C75,""),"")</f>
        <v/>
      </c>
      <c r="BV75" s="34">
        <f>IF(AND(BV$5&gt;$E75,BV$5&lt;=$F75),IF(BV$5=$E75+1,$C75,""),"")</f>
        <v/>
      </c>
      <c r="BW75" s="34">
        <f>IF(AND(BW$5&gt;$E75,BW$5&lt;=$F75),IF(BW$5=$E75+1,$C75,""),"")</f>
        <v/>
      </c>
      <c r="BX75" s="34">
        <f>IF(AND(BX$5&gt;$E75,BX$5&lt;=$F75),IF(BX$5=$E75+1,$C75,""),"")</f>
        <v/>
      </c>
      <c r="BY75" s="34">
        <f>IF(AND(BY$5&gt;$E75,BY$5&lt;=$F75),IF(BY$5=$E75+1,$C75,""),"")</f>
        <v/>
      </c>
      <c r="BZ75" s="34">
        <f>IF(AND(BZ$5&gt;$E75,BZ$5&lt;=$F75),IF(BZ$5=$E75+1,$C75,""),"")</f>
        <v/>
      </c>
      <c r="CA75" s="34">
        <f>IF(AND(CA$5&gt;$E75,CA$5&lt;=$F75),IF(CA$5=$E75+1,$C75,""),"")</f>
        <v/>
      </c>
      <c r="CB75" s="34">
        <f>IF(AND(CB$5&gt;$E75,CB$5&lt;=$F75),IF(CB$5=$E75+1,$C75,""),"")</f>
        <v/>
      </c>
      <c r="CC75" s="34">
        <f>IF(AND(CC$5&gt;$E75,CC$5&lt;=$F75),IF(CC$5=$E75+1,$C75,""),"")</f>
        <v/>
      </c>
      <c r="CD75" s="34">
        <f>IF(AND(CD$5&gt;$E75,CD$5&lt;=$F75),IF(CD$5=$E75+1,$C75,""),"")</f>
        <v/>
      </c>
      <c r="CE75" s="34">
        <f>IF(AND(CE$5&gt;$E75,CE$5&lt;=$F75),IF(CE$5=$E75+1,$C75,""),"")</f>
        <v/>
      </c>
      <c r="CF75" s="34">
        <f>IF(AND(CF$5&gt;$E75,CF$5&lt;=$F75),IF(CF$5=$E75+1,$C75,""),"")</f>
        <v/>
      </c>
      <c r="CG75" s="34">
        <f>IF(AND(CG$5&gt;$E75,CG$5&lt;=$F75),IF(CG$5=$E75+1,$C75,""),"")</f>
        <v/>
      </c>
      <c r="CH75" s="34">
        <f>IF(AND(CH$5&gt;$E75,CH$5&lt;=$F75),IF(CH$5=$E75+1,$C75,""),"")</f>
        <v/>
      </c>
      <c r="CI75" s="34">
        <f>IF(AND(CI$5&gt;$E75,CI$5&lt;=$F75),IF(CI$5=$E75+1,$C75,""),"")</f>
        <v/>
      </c>
      <c r="CJ75" s="34">
        <f>IF(AND(CJ$5&gt;$E75,CJ$5&lt;=$F75),IF(CJ$5=$E75+1,$C75,""),"")</f>
        <v/>
      </c>
      <c r="CK75" s="34">
        <f>IF(AND(CK$5&gt;$E75,CK$5&lt;=$F75),IF(CK$5=$E75+1,$C75,""),"")</f>
        <v/>
      </c>
      <c r="CL75" s="34">
        <f>IF(AND(CL$5&gt;$E75,CL$5&lt;=$F75),IF(CL$5=$E75+1,$C75,""),"")</f>
        <v/>
      </c>
      <c r="CM75" s="34">
        <f>IF(AND(CM$5&gt;$E75,CM$5&lt;=$F75),IF(CM$5=$E75+1,$C75,""),"")</f>
        <v/>
      </c>
      <c r="CN75" s="34">
        <f>IF(AND(CN$5&gt;$E75,CN$5&lt;=$F75),IF(CN$5=$E75+1,$C75,""),"")</f>
        <v/>
      </c>
      <c r="CO75" s="34">
        <f>IF(AND(CO$5&gt;$E75,CO$5&lt;=$F75),IF(CO$5=$E75+1,$C75,""),"")</f>
        <v/>
      </c>
      <c r="CP75" s="34">
        <f>IF(AND(CP$5&gt;$E75,CP$5&lt;=$F75),IF(CP$5=$E75+1,$C75,""),"")</f>
        <v/>
      </c>
      <c r="CQ75" s="34">
        <f>IF(AND(CQ$5&gt;$E75,CQ$5&lt;=$F75),IF(CQ$5=$E75+1,$C75,""),"")</f>
        <v/>
      </c>
      <c r="CR75" s="34">
        <f>IF(AND(CR$5&gt;$E75,CR$5&lt;=$F75),IF(CR$5=$E75+1,$C75,""),"")</f>
        <v/>
      </c>
      <c r="CS75" s="34">
        <f>IF(AND(CS$5&gt;$E75,CS$5&lt;=$F75),IF(CS$5=$E75+1,$C75,""),"")</f>
        <v/>
      </c>
    </row>
    <row r="76">
      <c r="A76" s="32">
        <f>Plan!A66</f>
        <v/>
      </c>
      <c r="B76" s="33">
        <f>Plan!C66</f>
        <v/>
      </c>
      <c r="C76" s="16">
        <f>Plan!D66</f>
        <v/>
      </c>
      <c r="D76" s="16">
        <f>Plan!I66</f>
        <v/>
      </c>
      <c r="E76" s="16">
        <f>Plan!K66</f>
        <v/>
      </c>
      <c r="F76" s="16">
        <f>Plan!L66</f>
        <v/>
      </c>
      <c r="G76" s="16">
        <f>Plan!O66</f>
        <v/>
      </c>
      <c r="H76" s="34">
        <f>IF(AND(H$5&gt;$E76,H$5&lt;=$F76),IF(H$5=$E76+1,$C76,""),"")</f>
        <v/>
      </c>
      <c r="I76" s="34">
        <f>IF(AND(I$5&gt;$E76,I$5&lt;=$F76),IF(I$5=$E76+1,$C76,""),"")</f>
        <v/>
      </c>
      <c r="J76" s="34">
        <f>IF(AND(J$5&gt;$E76,J$5&lt;=$F76),IF(J$5=$E76+1,$C76,""),"")</f>
        <v/>
      </c>
      <c r="K76" s="34">
        <f>IF(AND(K$5&gt;$E76,K$5&lt;=$F76),IF(K$5=$E76+1,$C76,""),"")</f>
        <v/>
      </c>
      <c r="L76" s="34">
        <f>IF(AND(L$5&gt;$E76,L$5&lt;=$F76),IF(L$5=$E76+1,$C76,""),"")</f>
        <v/>
      </c>
      <c r="M76" s="34">
        <f>IF(AND(M$5&gt;$E76,M$5&lt;=$F76),IF(M$5=$E76+1,$C76,""),"")</f>
        <v/>
      </c>
      <c r="N76" s="34">
        <f>IF(AND(N$5&gt;$E76,N$5&lt;=$F76),IF(N$5=$E76+1,$C76,""),"")</f>
        <v/>
      </c>
      <c r="O76" s="34">
        <f>IF(AND(O$5&gt;$E76,O$5&lt;=$F76),IF(O$5=$E76+1,$C76,""),"")</f>
        <v/>
      </c>
      <c r="P76" s="34">
        <f>IF(AND(P$5&gt;$E76,P$5&lt;=$F76),IF(P$5=$E76+1,$C76,""),"")</f>
        <v/>
      </c>
      <c r="Q76" s="34">
        <f>IF(AND(Q$5&gt;$E76,Q$5&lt;=$F76),IF(Q$5=$E76+1,$C76,""),"")</f>
        <v/>
      </c>
      <c r="R76" s="34">
        <f>IF(AND(R$5&gt;$E76,R$5&lt;=$F76),IF(R$5=$E76+1,$C76,""),"")</f>
        <v/>
      </c>
      <c r="S76" s="34">
        <f>IF(AND(S$5&gt;$E76,S$5&lt;=$F76),IF(S$5=$E76+1,$C76,""),"")</f>
        <v/>
      </c>
      <c r="T76" s="34">
        <f>IF(AND(T$5&gt;$E76,T$5&lt;=$F76),IF(T$5=$E76+1,$C76,""),"")</f>
        <v/>
      </c>
      <c r="U76" s="34">
        <f>IF(AND(U$5&gt;$E76,U$5&lt;=$F76),IF(U$5=$E76+1,$C76,""),"")</f>
        <v/>
      </c>
      <c r="V76" s="34">
        <f>IF(AND(V$5&gt;$E76,V$5&lt;=$F76),IF(V$5=$E76+1,$C76,""),"")</f>
        <v/>
      </c>
      <c r="W76" s="34">
        <f>IF(AND(W$5&gt;$E76,W$5&lt;=$F76),IF(W$5=$E76+1,$C76,""),"")</f>
        <v/>
      </c>
      <c r="X76" s="34">
        <f>IF(AND(X$5&gt;$E76,X$5&lt;=$F76),IF(X$5=$E76+1,$C76,""),"")</f>
        <v/>
      </c>
      <c r="Y76" s="34">
        <f>IF(AND(Y$5&gt;$E76,Y$5&lt;=$F76),IF(Y$5=$E76+1,$C76,""),"")</f>
        <v/>
      </c>
      <c r="Z76" s="34">
        <f>IF(AND(Z$5&gt;$E76,Z$5&lt;=$F76),IF(Z$5=$E76+1,$C76,""),"")</f>
        <v/>
      </c>
      <c r="AA76" s="34">
        <f>IF(AND(AA$5&gt;$E76,AA$5&lt;=$F76),IF(AA$5=$E76+1,$C76,""),"")</f>
        <v/>
      </c>
      <c r="AB76" s="34">
        <f>IF(AND(AB$5&gt;$E76,AB$5&lt;=$F76),IF(AB$5=$E76+1,$C76,""),"")</f>
        <v/>
      </c>
      <c r="AC76" s="34">
        <f>IF(AND(AC$5&gt;$E76,AC$5&lt;=$F76),IF(AC$5=$E76+1,$C76,""),"")</f>
        <v/>
      </c>
      <c r="AD76" s="34">
        <f>IF(AND(AD$5&gt;$E76,AD$5&lt;=$F76),IF(AD$5=$E76+1,$C76,""),"")</f>
        <v/>
      </c>
      <c r="AE76" s="34">
        <f>IF(AND(AE$5&gt;$E76,AE$5&lt;=$F76),IF(AE$5=$E76+1,$C76,""),"")</f>
        <v/>
      </c>
      <c r="AF76" s="34">
        <f>IF(AND(AF$5&gt;$E76,AF$5&lt;=$F76),IF(AF$5=$E76+1,$C76,""),"")</f>
        <v/>
      </c>
      <c r="AG76" s="34">
        <f>IF(AND(AG$5&gt;$E76,AG$5&lt;=$F76),IF(AG$5=$E76+1,$C76,""),"")</f>
        <v/>
      </c>
      <c r="AH76" s="34">
        <f>IF(AND(AH$5&gt;$E76,AH$5&lt;=$F76),IF(AH$5=$E76+1,$C76,""),"")</f>
        <v/>
      </c>
      <c r="AI76" s="34">
        <f>IF(AND(AI$5&gt;$E76,AI$5&lt;=$F76),IF(AI$5=$E76+1,$C76,""),"")</f>
        <v/>
      </c>
      <c r="AJ76" s="34">
        <f>IF(AND(AJ$5&gt;$E76,AJ$5&lt;=$F76),IF(AJ$5=$E76+1,$C76,""),"")</f>
        <v/>
      </c>
      <c r="AK76" s="34">
        <f>IF(AND(AK$5&gt;$E76,AK$5&lt;=$F76),IF(AK$5=$E76+1,$C76,""),"")</f>
        <v/>
      </c>
      <c r="AL76" s="34">
        <f>IF(AND(AL$5&gt;$E76,AL$5&lt;=$F76),IF(AL$5=$E76+1,$C76,""),"")</f>
        <v/>
      </c>
      <c r="AM76" s="34">
        <f>IF(AND(AM$5&gt;$E76,AM$5&lt;=$F76),IF(AM$5=$E76+1,$C76,""),"")</f>
        <v/>
      </c>
      <c r="AN76" s="34">
        <f>IF(AND(AN$5&gt;$E76,AN$5&lt;=$F76),IF(AN$5=$E76+1,$C76,""),"")</f>
        <v/>
      </c>
      <c r="AO76" s="34">
        <f>IF(AND(AO$5&gt;$E76,AO$5&lt;=$F76),IF(AO$5=$E76+1,$C76,""),"")</f>
        <v/>
      </c>
      <c r="AP76" s="34">
        <f>IF(AND(AP$5&gt;$E76,AP$5&lt;=$F76),IF(AP$5=$E76+1,$C76,""),"")</f>
        <v/>
      </c>
      <c r="AQ76" s="34">
        <f>IF(AND(AQ$5&gt;$E76,AQ$5&lt;=$F76),IF(AQ$5=$E76+1,$C76,""),"")</f>
        <v/>
      </c>
      <c r="AR76" s="34">
        <f>IF(AND(AR$5&gt;$E76,AR$5&lt;=$F76),IF(AR$5=$E76+1,$C76,""),"")</f>
        <v/>
      </c>
      <c r="AS76" s="34">
        <f>IF(AND(AS$5&gt;$E76,AS$5&lt;=$F76),IF(AS$5=$E76+1,$C76,""),"")</f>
        <v/>
      </c>
      <c r="AT76" s="34">
        <f>IF(AND(AT$5&gt;$E76,AT$5&lt;=$F76),IF(AT$5=$E76+1,$C76,""),"")</f>
        <v/>
      </c>
      <c r="AU76" s="34">
        <f>IF(AND(AU$5&gt;$E76,AU$5&lt;=$F76),IF(AU$5=$E76+1,$C76,""),"")</f>
        <v/>
      </c>
      <c r="AV76" s="34">
        <f>IF(AND(AV$5&gt;$E76,AV$5&lt;=$F76),IF(AV$5=$E76+1,$C76,""),"")</f>
        <v/>
      </c>
      <c r="AW76" s="34">
        <f>IF(AND(AW$5&gt;$E76,AW$5&lt;=$F76),IF(AW$5=$E76+1,$C76,""),"")</f>
        <v/>
      </c>
      <c r="AX76" s="34">
        <f>IF(AND(AX$5&gt;$E76,AX$5&lt;=$F76),IF(AX$5=$E76+1,$C76,""),"")</f>
        <v/>
      </c>
      <c r="AY76" s="34">
        <f>IF(AND(AY$5&gt;$E76,AY$5&lt;=$F76),IF(AY$5=$E76+1,$C76,""),"")</f>
        <v/>
      </c>
      <c r="AZ76" s="34">
        <f>IF(AND(AZ$5&gt;$E76,AZ$5&lt;=$F76),IF(AZ$5=$E76+1,$C76,""),"")</f>
        <v/>
      </c>
      <c r="BA76" s="34">
        <f>IF(AND(BA$5&gt;$E76,BA$5&lt;=$F76),IF(BA$5=$E76+1,$C76,""),"")</f>
        <v/>
      </c>
      <c r="BB76" s="34">
        <f>IF(AND(BB$5&gt;$E76,BB$5&lt;=$F76),IF(BB$5=$E76+1,$C76,""),"")</f>
        <v/>
      </c>
      <c r="BC76" s="34">
        <f>IF(AND(BC$5&gt;$E76,BC$5&lt;=$F76),IF(BC$5=$E76+1,$C76,""),"")</f>
        <v/>
      </c>
      <c r="BD76" s="34">
        <f>IF(AND(BD$5&gt;$E76,BD$5&lt;=$F76),IF(BD$5=$E76+1,$C76,""),"")</f>
        <v/>
      </c>
      <c r="BE76" s="34">
        <f>IF(AND(BE$5&gt;$E76,BE$5&lt;=$F76),IF(BE$5=$E76+1,$C76,""),"")</f>
        <v/>
      </c>
      <c r="BF76" s="34">
        <f>IF(AND(BF$5&gt;$E76,BF$5&lt;=$F76),IF(BF$5=$E76+1,$C76,""),"")</f>
        <v/>
      </c>
      <c r="BG76" s="34">
        <f>IF(AND(BG$5&gt;$E76,BG$5&lt;=$F76),IF(BG$5=$E76+1,$C76,""),"")</f>
        <v/>
      </c>
      <c r="BH76" s="34">
        <f>IF(AND(BH$5&gt;$E76,BH$5&lt;=$F76),IF(BH$5=$E76+1,$C76,""),"")</f>
        <v/>
      </c>
      <c r="BI76" s="34">
        <f>IF(AND(BI$5&gt;$E76,BI$5&lt;=$F76),IF(BI$5=$E76+1,$C76,""),"")</f>
        <v/>
      </c>
      <c r="BJ76" s="34">
        <f>IF(AND(BJ$5&gt;$E76,BJ$5&lt;=$F76),IF(BJ$5=$E76+1,$C76,""),"")</f>
        <v/>
      </c>
      <c r="BK76" s="34">
        <f>IF(AND(BK$5&gt;$E76,BK$5&lt;=$F76),IF(BK$5=$E76+1,$C76,""),"")</f>
        <v/>
      </c>
      <c r="BL76" s="34">
        <f>IF(AND(BL$5&gt;$E76,BL$5&lt;=$F76),IF(BL$5=$E76+1,$C76,""),"")</f>
        <v/>
      </c>
      <c r="BM76" s="34">
        <f>IF(AND(BM$5&gt;$E76,BM$5&lt;=$F76),IF(BM$5=$E76+1,$C76,""),"")</f>
        <v/>
      </c>
      <c r="BN76" s="34">
        <f>IF(AND(BN$5&gt;$E76,BN$5&lt;=$F76),IF(BN$5=$E76+1,$C76,""),"")</f>
        <v/>
      </c>
      <c r="BO76" s="34">
        <f>IF(AND(BO$5&gt;$E76,BO$5&lt;=$F76),IF(BO$5=$E76+1,$C76,""),"")</f>
        <v/>
      </c>
      <c r="BP76" s="34">
        <f>IF(AND(BP$5&gt;$E76,BP$5&lt;=$F76),IF(BP$5=$E76+1,$C76,""),"")</f>
        <v/>
      </c>
      <c r="BQ76" s="34">
        <f>IF(AND(BQ$5&gt;$E76,BQ$5&lt;=$F76),IF(BQ$5=$E76+1,$C76,""),"")</f>
        <v/>
      </c>
      <c r="BR76" s="34">
        <f>IF(AND(BR$5&gt;$E76,BR$5&lt;=$F76),IF(BR$5=$E76+1,$C76,""),"")</f>
        <v/>
      </c>
      <c r="BS76" s="34">
        <f>IF(AND(BS$5&gt;$E76,BS$5&lt;=$F76),IF(BS$5=$E76+1,$C76,""),"")</f>
        <v/>
      </c>
      <c r="BT76" s="34">
        <f>IF(AND(BT$5&gt;$E76,BT$5&lt;=$F76),IF(BT$5=$E76+1,$C76,""),"")</f>
        <v/>
      </c>
      <c r="BU76" s="34">
        <f>IF(AND(BU$5&gt;$E76,BU$5&lt;=$F76),IF(BU$5=$E76+1,$C76,""),"")</f>
        <v/>
      </c>
      <c r="BV76" s="34">
        <f>IF(AND(BV$5&gt;$E76,BV$5&lt;=$F76),IF(BV$5=$E76+1,$C76,""),"")</f>
        <v/>
      </c>
      <c r="BW76" s="34">
        <f>IF(AND(BW$5&gt;$E76,BW$5&lt;=$F76),IF(BW$5=$E76+1,$C76,""),"")</f>
        <v/>
      </c>
      <c r="BX76" s="34">
        <f>IF(AND(BX$5&gt;$E76,BX$5&lt;=$F76),IF(BX$5=$E76+1,$C76,""),"")</f>
        <v/>
      </c>
      <c r="BY76" s="34">
        <f>IF(AND(BY$5&gt;$E76,BY$5&lt;=$F76),IF(BY$5=$E76+1,$C76,""),"")</f>
        <v/>
      </c>
      <c r="BZ76" s="34">
        <f>IF(AND(BZ$5&gt;$E76,BZ$5&lt;=$F76),IF(BZ$5=$E76+1,$C76,""),"")</f>
        <v/>
      </c>
      <c r="CA76" s="34">
        <f>IF(AND(CA$5&gt;$E76,CA$5&lt;=$F76),IF(CA$5=$E76+1,$C76,""),"")</f>
        <v/>
      </c>
      <c r="CB76" s="34">
        <f>IF(AND(CB$5&gt;$E76,CB$5&lt;=$F76),IF(CB$5=$E76+1,$C76,""),"")</f>
        <v/>
      </c>
      <c r="CC76" s="34">
        <f>IF(AND(CC$5&gt;$E76,CC$5&lt;=$F76),IF(CC$5=$E76+1,$C76,""),"")</f>
        <v/>
      </c>
      <c r="CD76" s="34">
        <f>IF(AND(CD$5&gt;$E76,CD$5&lt;=$F76),IF(CD$5=$E76+1,$C76,""),"")</f>
        <v/>
      </c>
      <c r="CE76" s="34">
        <f>IF(AND(CE$5&gt;$E76,CE$5&lt;=$F76),IF(CE$5=$E76+1,$C76,""),"")</f>
        <v/>
      </c>
      <c r="CF76" s="34">
        <f>IF(AND(CF$5&gt;$E76,CF$5&lt;=$F76),IF(CF$5=$E76+1,$C76,""),"")</f>
        <v/>
      </c>
      <c r="CG76" s="34">
        <f>IF(AND(CG$5&gt;$E76,CG$5&lt;=$F76),IF(CG$5=$E76+1,$C76,""),"")</f>
        <v/>
      </c>
      <c r="CH76" s="34">
        <f>IF(AND(CH$5&gt;$E76,CH$5&lt;=$F76),IF(CH$5=$E76+1,$C76,""),"")</f>
        <v/>
      </c>
      <c r="CI76" s="34">
        <f>IF(AND(CI$5&gt;$E76,CI$5&lt;=$F76),IF(CI$5=$E76+1,$C76,""),"")</f>
        <v/>
      </c>
      <c r="CJ76" s="34">
        <f>IF(AND(CJ$5&gt;$E76,CJ$5&lt;=$F76),IF(CJ$5=$E76+1,$C76,""),"")</f>
        <v/>
      </c>
      <c r="CK76" s="34">
        <f>IF(AND(CK$5&gt;$E76,CK$5&lt;=$F76),IF(CK$5=$E76+1,$C76,""),"")</f>
        <v/>
      </c>
      <c r="CL76" s="34">
        <f>IF(AND(CL$5&gt;$E76,CL$5&lt;=$F76),IF(CL$5=$E76+1,$C76,""),"")</f>
        <v/>
      </c>
      <c r="CM76" s="34">
        <f>IF(AND(CM$5&gt;$E76,CM$5&lt;=$F76),IF(CM$5=$E76+1,$C76,""),"")</f>
        <v/>
      </c>
      <c r="CN76" s="34">
        <f>IF(AND(CN$5&gt;$E76,CN$5&lt;=$F76),IF(CN$5=$E76+1,$C76,""),"")</f>
        <v/>
      </c>
      <c r="CO76" s="34">
        <f>IF(AND(CO$5&gt;$E76,CO$5&lt;=$F76),IF(CO$5=$E76+1,$C76,""),"")</f>
        <v/>
      </c>
      <c r="CP76" s="34">
        <f>IF(AND(CP$5&gt;$E76,CP$5&lt;=$F76),IF(CP$5=$E76+1,$C76,""),"")</f>
        <v/>
      </c>
      <c r="CQ76" s="34">
        <f>IF(AND(CQ$5&gt;$E76,CQ$5&lt;=$F76),IF(CQ$5=$E76+1,$C76,""),"")</f>
        <v/>
      </c>
      <c r="CR76" s="34">
        <f>IF(AND(CR$5&gt;$E76,CR$5&lt;=$F76),IF(CR$5=$E76+1,$C76,""),"")</f>
        <v/>
      </c>
      <c r="CS76" s="34">
        <f>IF(AND(CS$5&gt;$E76,CS$5&lt;=$F76),IF(CS$5=$E76+1,$C76,""),"")</f>
        <v/>
      </c>
    </row>
    <row r="77">
      <c r="A77" s="32">
        <f>Plan!A67</f>
        <v/>
      </c>
      <c r="B77" s="33">
        <f>Plan!C67</f>
        <v/>
      </c>
      <c r="C77" s="16">
        <f>Plan!D67</f>
        <v/>
      </c>
      <c r="D77" s="16">
        <f>Plan!I67</f>
        <v/>
      </c>
      <c r="E77" s="16">
        <f>Plan!K67</f>
        <v/>
      </c>
      <c r="F77" s="16">
        <f>Plan!L67</f>
        <v/>
      </c>
      <c r="G77" s="16">
        <f>Plan!O67</f>
        <v/>
      </c>
      <c r="H77" s="34">
        <f>IF(AND(H$5&gt;$E77,H$5&lt;=$F77),IF(H$5=$E77+1,$C77,""),"")</f>
        <v/>
      </c>
      <c r="I77" s="34">
        <f>IF(AND(I$5&gt;$E77,I$5&lt;=$F77),IF(I$5=$E77+1,$C77,""),"")</f>
        <v/>
      </c>
      <c r="J77" s="34">
        <f>IF(AND(J$5&gt;$E77,J$5&lt;=$F77),IF(J$5=$E77+1,$C77,""),"")</f>
        <v/>
      </c>
      <c r="K77" s="34">
        <f>IF(AND(K$5&gt;$E77,K$5&lt;=$F77),IF(K$5=$E77+1,$C77,""),"")</f>
        <v/>
      </c>
      <c r="L77" s="34">
        <f>IF(AND(L$5&gt;$E77,L$5&lt;=$F77),IF(L$5=$E77+1,$C77,""),"")</f>
        <v/>
      </c>
      <c r="M77" s="34">
        <f>IF(AND(M$5&gt;$E77,M$5&lt;=$F77),IF(M$5=$E77+1,$C77,""),"")</f>
        <v/>
      </c>
      <c r="N77" s="34">
        <f>IF(AND(N$5&gt;$E77,N$5&lt;=$F77),IF(N$5=$E77+1,$C77,""),"")</f>
        <v/>
      </c>
      <c r="O77" s="34">
        <f>IF(AND(O$5&gt;$E77,O$5&lt;=$F77),IF(O$5=$E77+1,$C77,""),"")</f>
        <v/>
      </c>
      <c r="P77" s="34">
        <f>IF(AND(P$5&gt;$E77,P$5&lt;=$F77),IF(P$5=$E77+1,$C77,""),"")</f>
        <v/>
      </c>
      <c r="Q77" s="34">
        <f>IF(AND(Q$5&gt;$E77,Q$5&lt;=$F77),IF(Q$5=$E77+1,$C77,""),"")</f>
        <v/>
      </c>
      <c r="R77" s="34">
        <f>IF(AND(R$5&gt;$E77,R$5&lt;=$F77),IF(R$5=$E77+1,$C77,""),"")</f>
        <v/>
      </c>
      <c r="S77" s="34">
        <f>IF(AND(S$5&gt;$E77,S$5&lt;=$F77),IF(S$5=$E77+1,$C77,""),"")</f>
        <v/>
      </c>
      <c r="T77" s="34">
        <f>IF(AND(T$5&gt;$E77,T$5&lt;=$F77),IF(T$5=$E77+1,$C77,""),"")</f>
        <v/>
      </c>
      <c r="U77" s="34">
        <f>IF(AND(U$5&gt;$E77,U$5&lt;=$F77),IF(U$5=$E77+1,$C77,""),"")</f>
        <v/>
      </c>
      <c r="V77" s="34">
        <f>IF(AND(V$5&gt;$E77,V$5&lt;=$F77),IF(V$5=$E77+1,$C77,""),"")</f>
        <v/>
      </c>
      <c r="W77" s="34">
        <f>IF(AND(W$5&gt;$E77,W$5&lt;=$F77),IF(W$5=$E77+1,$C77,""),"")</f>
        <v/>
      </c>
      <c r="X77" s="34">
        <f>IF(AND(X$5&gt;$E77,X$5&lt;=$F77),IF(X$5=$E77+1,$C77,""),"")</f>
        <v/>
      </c>
      <c r="Y77" s="34">
        <f>IF(AND(Y$5&gt;$E77,Y$5&lt;=$F77),IF(Y$5=$E77+1,$C77,""),"")</f>
        <v/>
      </c>
      <c r="Z77" s="34">
        <f>IF(AND(Z$5&gt;$E77,Z$5&lt;=$F77),IF(Z$5=$E77+1,$C77,""),"")</f>
        <v/>
      </c>
      <c r="AA77" s="34">
        <f>IF(AND(AA$5&gt;$E77,AA$5&lt;=$F77),IF(AA$5=$E77+1,$C77,""),"")</f>
        <v/>
      </c>
      <c r="AB77" s="34">
        <f>IF(AND(AB$5&gt;$E77,AB$5&lt;=$F77),IF(AB$5=$E77+1,$C77,""),"")</f>
        <v/>
      </c>
      <c r="AC77" s="34">
        <f>IF(AND(AC$5&gt;$E77,AC$5&lt;=$F77),IF(AC$5=$E77+1,$C77,""),"")</f>
        <v/>
      </c>
      <c r="AD77" s="34">
        <f>IF(AND(AD$5&gt;$E77,AD$5&lt;=$F77),IF(AD$5=$E77+1,$C77,""),"")</f>
        <v/>
      </c>
      <c r="AE77" s="34">
        <f>IF(AND(AE$5&gt;$E77,AE$5&lt;=$F77),IF(AE$5=$E77+1,$C77,""),"")</f>
        <v/>
      </c>
      <c r="AF77" s="34">
        <f>IF(AND(AF$5&gt;$E77,AF$5&lt;=$F77),IF(AF$5=$E77+1,$C77,""),"")</f>
        <v/>
      </c>
      <c r="AG77" s="34">
        <f>IF(AND(AG$5&gt;$E77,AG$5&lt;=$F77),IF(AG$5=$E77+1,$C77,""),"")</f>
        <v/>
      </c>
      <c r="AH77" s="34">
        <f>IF(AND(AH$5&gt;$E77,AH$5&lt;=$F77),IF(AH$5=$E77+1,$C77,""),"")</f>
        <v/>
      </c>
      <c r="AI77" s="34">
        <f>IF(AND(AI$5&gt;$E77,AI$5&lt;=$F77),IF(AI$5=$E77+1,$C77,""),"")</f>
        <v/>
      </c>
      <c r="AJ77" s="34">
        <f>IF(AND(AJ$5&gt;$E77,AJ$5&lt;=$F77),IF(AJ$5=$E77+1,$C77,""),"")</f>
        <v/>
      </c>
      <c r="AK77" s="34">
        <f>IF(AND(AK$5&gt;$E77,AK$5&lt;=$F77),IF(AK$5=$E77+1,$C77,""),"")</f>
        <v/>
      </c>
      <c r="AL77" s="34">
        <f>IF(AND(AL$5&gt;$E77,AL$5&lt;=$F77),IF(AL$5=$E77+1,$C77,""),"")</f>
        <v/>
      </c>
      <c r="AM77" s="34">
        <f>IF(AND(AM$5&gt;$E77,AM$5&lt;=$F77),IF(AM$5=$E77+1,$C77,""),"")</f>
        <v/>
      </c>
      <c r="AN77" s="34">
        <f>IF(AND(AN$5&gt;$E77,AN$5&lt;=$F77),IF(AN$5=$E77+1,$C77,""),"")</f>
        <v/>
      </c>
      <c r="AO77" s="34">
        <f>IF(AND(AO$5&gt;$E77,AO$5&lt;=$F77),IF(AO$5=$E77+1,$C77,""),"")</f>
        <v/>
      </c>
      <c r="AP77" s="34">
        <f>IF(AND(AP$5&gt;$E77,AP$5&lt;=$F77),IF(AP$5=$E77+1,$C77,""),"")</f>
        <v/>
      </c>
      <c r="AQ77" s="34">
        <f>IF(AND(AQ$5&gt;$E77,AQ$5&lt;=$F77),IF(AQ$5=$E77+1,$C77,""),"")</f>
        <v/>
      </c>
      <c r="AR77" s="34">
        <f>IF(AND(AR$5&gt;$E77,AR$5&lt;=$F77),IF(AR$5=$E77+1,$C77,""),"")</f>
        <v/>
      </c>
      <c r="AS77" s="34">
        <f>IF(AND(AS$5&gt;$E77,AS$5&lt;=$F77),IF(AS$5=$E77+1,$C77,""),"")</f>
        <v/>
      </c>
      <c r="AT77" s="34">
        <f>IF(AND(AT$5&gt;$E77,AT$5&lt;=$F77),IF(AT$5=$E77+1,$C77,""),"")</f>
        <v/>
      </c>
      <c r="AU77" s="34">
        <f>IF(AND(AU$5&gt;$E77,AU$5&lt;=$F77),IF(AU$5=$E77+1,$C77,""),"")</f>
        <v/>
      </c>
      <c r="AV77" s="34">
        <f>IF(AND(AV$5&gt;$E77,AV$5&lt;=$F77),IF(AV$5=$E77+1,$C77,""),"")</f>
        <v/>
      </c>
      <c r="AW77" s="34">
        <f>IF(AND(AW$5&gt;$E77,AW$5&lt;=$F77),IF(AW$5=$E77+1,$C77,""),"")</f>
        <v/>
      </c>
      <c r="AX77" s="34">
        <f>IF(AND(AX$5&gt;$E77,AX$5&lt;=$F77),IF(AX$5=$E77+1,$C77,""),"")</f>
        <v/>
      </c>
      <c r="AY77" s="34">
        <f>IF(AND(AY$5&gt;$E77,AY$5&lt;=$F77),IF(AY$5=$E77+1,$C77,""),"")</f>
        <v/>
      </c>
      <c r="AZ77" s="34">
        <f>IF(AND(AZ$5&gt;$E77,AZ$5&lt;=$F77),IF(AZ$5=$E77+1,$C77,""),"")</f>
        <v/>
      </c>
      <c r="BA77" s="34">
        <f>IF(AND(BA$5&gt;$E77,BA$5&lt;=$F77),IF(BA$5=$E77+1,$C77,""),"")</f>
        <v/>
      </c>
      <c r="BB77" s="34">
        <f>IF(AND(BB$5&gt;$E77,BB$5&lt;=$F77),IF(BB$5=$E77+1,$C77,""),"")</f>
        <v/>
      </c>
      <c r="BC77" s="34">
        <f>IF(AND(BC$5&gt;$E77,BC$5&lt;=$F77),IF(BC$5=$E77+1,$C77,""),"")</f>
        <v/>
      </c>
      <c r="BD77" s="34">
        <f>IF(AND(BD$5&gt;$E77,BD$5&lt;=$F77),IF(BD$5=$E77+1,$C77,""),"")</f>
        <v/>
      </c>
      <c r="BE77" s="34">
        <f>IF(AND(BE$5&gt;$E77,BE$5&lt;=$F77),IF(BE$5=$E77+1,$C77,""),"")</f>
        <v/>
      </c>
      <c r="BF77" s="34">
        <f>IF(AND(BF$5&gt;$E77,BF$5&lt;=$F77),IF(BF$5=$E77+1,$C77,""),"")</f>
        <v/>
      </c>
      <c r="BG77" s="34">
        <f>IF(AND(BG$5&gt;$E77,BG$5&lt;=$F77),IF(BG$5=$E77+1,$C77,""),"")</f>
        <v/>
      </c>
      <c r="BH77" s="34">
        <f>IF(AND(BH$5&gt;$E77,BH$5&lt;=$F77),IF(BH$5=$E77+1,$C77,""),"")</f>
        <v/>
      </c>
      <c r="BI77" s="34">
        <f>IF(AND(BI$5&gt;$E77,BI$5&lt;=$F77),IF(BI$5=$E77+1,$C77,""),"")</f>
        <v/>
      </c>
      <c r="BJ77" s="34">
        <f>IF(AND(BJ$5&gt;$E77,BJ$5&lt;=$F77),IF(BJ$5=$E77+1,$C77,""),"")</f>
        <v/>
      </c>
      <c r="BK77" s="34">
        <f>IF(AND(BK$5&gt;$E77,BK$5&lt;=$F77),IF(BK$5=$E77+1,$C77,""),"")</f>
        <v/>
      </c>
      <c r="BL77" s="34">
        <f>IF(AND(BL$5&gt;$E77,BL$5&lt;=$F77),IF(BL$5=$E77+1,$C77,""),"")</f>
        <v/>
      </c>
      <c r="BM77" s="34">
        <f>IF(AND(BM$5&gt;$E77,BM$5&lt;=$F77),IF(BM$5=$E77+1,$C77,""),"")</f>
        <v/>
      </c>
      <c r="BN77" s="34">
        <f>IF(AND(BN$5&gt;$E77,BN$5&lt;=$F77),IF(BN$5=$E77+1,$C77,""),"")</f>
        <v/>
      </c>
      <c r="BO77" s="34">
        <f>IF(AND(BO$5&gt;$E77,BO$5&lt;=$F77),IF(BO$5=$E77+1,$C77,""),"")</f>
        <v/>
      </c>
      <c r="BP77" s="34">
        <f>IF(AND(BP$5&gt;$E77,BP$5&lt;=$F77),IF(BP$5=$E77+1,$C77,""),"")</f>
        <v/>
      </c>
      <c r="BQ77" s="34">
        <f>IF(AND(BQ$5&gt;$E77,BQ$5&lt;=$F77),IF(BQ$5=$E77+1,$C77,""),"")</f>
        <v/>
      </c>
      <c r="BR77" s="34">
        <f>IF(AND(BR$5&gt;$E77,BR$5&lt;=$F77),IF(BR$5=$E77+1,$C77,""),"")</f>
        <v/>
      </c>
      <c r="BS77" s="34">
        <f>IF(AND(BS$5&gt;$E77,BS$5&lt;=$F77),IF(BS$5=$E77+1,$C77,""),"")</f>
        <v/>
      </c>
      <c r="BT77" s="34">
        <f>IF(AND(BT$5&gt;$E77,BT$5&lt;=$F77),IF(BT$5=$E77+1,$C77,""),"")</f>
        <v/>
      </c>
      <c r="BU77" s="34">
        <f>IF(AND(BU$5&gt;$E77,BU$5&lt;=$F77),IF(BU$5=$E77+1,$C77,""),"")</f>
        <v/>
      </c>
      <c r="BV77" s="34">
        <f>IF(AND(BV$5&gt;$E77,BV$5&lt;=$F77),IF(BV$5=$E77+1,$C77,""),"")</f>
        <v/>
      </c>
      <c r="BW77" s="34">
        <f>IF(AND(BW$5&gt;$E77,BW$5&lt;=$F77),IF(BW$5=$E77+1,$C77,""),"")</f>
        <v/>
      </c>
      <c r="BX77" s="34">
        <f>IF(AND(BX$5&gt;$E77,BX$5&lt;=$F77),IF(BX$5=$E77+1,$C77,""),"")</f>
        <v/>
      </c>
      <c r="BY77" s="34">
        <f>IF(AND(BY$5&gt;$E77,BY$5&lt;=$F77),IF(BY$5=$E77+1,$C77,""),"")</f>
        <v/>
      </c>
      <c r="BZ77" s="34">
        <f>IF(AND(BZ$5&gt;$E77,BZ$5&lt;=$F77),IF(BZ$5=$E77+1,$C77,""),"")</f>
        <v/>
      </c>
      <c r="CA77" s="34">
        <f>IF(AND(CA$5&gt;$E77,CA$5&lt;=$F77),IF(CA$5=$E77+1,$C77,""),"")</f>
        <v/>
      </c>
      <c r="CB77" s="34">
        <f>IF(AND(CB$5&gt;$E77,CB$5&lt;=$F77),IF(CB$5=$E77+1,$C77,""),"")</f>
        <v/>
      </c>
      <c r="CC77" s="34">
        <f>IF(AND(CC$5&gt;$E77,CC$5&lt;=$F77),IF(CC$5=$E77+1,$C77,""),"")</f>
        <v/>
      </c>
      <c r="CD77" s="34">
        <f>IF(AND(CD$5&gt;$E77,CD$5&lt;=$F77),IF(CD$5=$E77+1,$C77,""),"")</f>
        <v/>
      </c>
      <c r="CE77" s="34">
        <f>IF(AND(CE$5&gt;$E77,CE$5&lt;=$F77),IF(CE$5=$E77+1,$C77,""),"")</f>
        <v/>
      </c>
      <c r="CF77" s="34">
        <f>IF(AND(CF$5&gt;$E77,CF$5&lt;=$F77),IF(CF$5=$E77+1,$C77,""),"")</f>
        <v/>
      </c>
      <c r="CG77" s="34">
        <f>IF(AND(CG$5&gt;$E77,CG$5&lt;=$F77),IF(CG$5=$E77+1,$C77,""),"")</f>
        <v/>
      </c>
      <c r="CH77" s="34">
        <f>IF(AND(CH$5&gt;$E77,CH$5&lt;=$F77),IF(CH$5=$E77+1,$C77,""),"")</f>
        <v/>
      </c>
      <c r="CI77" s="34">
        <f>IF(AND(CI$5&gt;$E77,CI$5&lt;=$F77),IF(CI$5=$E77+1,$C77,""),"")</f>
        <v/>
      </c>
      <c r="CJ77" s="34">
        <f>IF(AND(CJ$5&gt;$E77,CJ$5&lt;=$F77),IF(CJ$5=$E77+1,$C77,""),"")</f>
        <v/>
      </c>
      <c r="CK77" s="34">
        <f>IF(AND(CK$5&gt;$E77,CK$5&lt;=$F77),IF(CK$5=$E77+1,$C77,""),"")</f>
        <v/>
      </c>
      <c r="CL77" s="34">
        <f>IF(AND(CL$5&gt;$E77,CL$5&lt;=$F77),IF(CL$5=$E77+1,$C77,""),"")</f>
        <v/>
      </c>
      <c r="CM77" s="34">
        <f>IF(AND(CM$5&gt;$E77,CM$5&lt;=$F77),IF(CM$5=$E77+1,$C77,""),"")</f>
        <v/>
      </c>
      <c r="CN77" s="34">
        <f>IF(AND(CN$5&gt;$E77,CN$5&lt;=$F77),IF(CN$5=$E77+1,$C77,""),"")</f>
        <v/>
      </c>
      <c r="CO77" s="34">
        <f>IF(AND(CO$5&gt;$E77,CO$5&lt;=$F77),IF(CO$5=$E77+1,$C77,""),"")</f>
        <v/>
      </c>
      <c r="CP77" s="34">
        <f>IF(AND(CP$5&gt;$E77,CP$5&lt;=$F77),IF(CP$5=$E77+1,$C77,""),"")</f>
        <v/>
      </c>
      <c r="CQ77" s="34">
        <f>IF(AND(CQ$5&gt;$E77,CQ$5&lt;=$F77),IF(CQ$5=$E77+1,$C77,""),"")</f>
        <v/>
      </c>
      <c r="CR77" s="34">
        <f>IF(AND(CR$5&gt;$E77,CR$5&lt;=$F77),IF(CR$5=$E77+1,$C77,""),"")</f>
        <v/>
      </c>
      <c r="CS77" s="34">
        <f>IF(AND(CS$5&gt;$E77,CS$5&lt;=$F77),IF(CS$5=$E77+1,$C77,""),"")</f>
        <v/>
      </c>
    </row>
    <row r="78">
      <c r="A78" s="32">
        <f>Plan!A68</f>
        <v/>
      </c>
      <c r="B78" s="33">
        <f>Plan!C68</f>
        <v/>
      </c>
      <c r="C78" s="16">
        <f>Plan!D68</f>
        <v/>
      </c>
      <c r="D78" s="16">
        <f>Plan!I68</f>
        <v/>
      </c>
      <c r="E78" s="16">
        <f>Plan!K68</f>
        <v/>
      </c>
      <c r="F78" s="16">
        <f>Plan!L68</f>
        <v/>
      </c>
      <c r="G78" s="16">
        <f>Plan!O68</f>
        <v/>
      </c>
      <c r="H78" s="34">
        <f>IF(AND(H$5&gt;$E78,H$5&lt;=$F78),IF(H$5=$E78+1,$C78,""),"")</f>
        <v/>
      </c>
      <c r="I78" s="34">
        <f>IF(AND(I$5&gt;$E78,I$5&lt;=$F78),IF(I$5=$E78+1,$C78,""),"")</f>
        <v/>
      </c>
      <c r="J78" s="34">
        <f>IF(AND(J$5&gt;$E78,J$5&lt;=$F78),IF(J$5=$E78+1,$C78,""),"")</f>
        <v/>
      </c>
      <c r="K78" s="34">
        <f>IF(AND(K$5&gt;$E78,K$5&lt;=$F78),IF(K$5=$E78+1,$C78,""),"")</f>
        <v/>
      </c>
      <c r="L78" s="34">
        <f>IF(AND(L$5&gt;$E78,L$5&lt;=$F78),IF(L$5=$E78+1,$C78,""),"")</f>
        <v/>
      </c>
      <c r="M78" s="34">
        <f>IF(AND(M$5&gt;$E78,M$5&lt;=$F78),IF(M$5=$E78+1,$C78,""),"")</f>
        <v/>
      </c>
      <c r="N78" s="34">
        <f>IF(AND(N$5&gt;$E78,N$5&lt;=$F78),IF(N$5=$E78+1,$C78,""),"")</f>
        <v/>
      </c>
      <c r="O78" s="34">
        <f>IF(AND(O$5&gt;$E78,O$5&lt;=$F78),IF(O$5=$E78+1,$C78,""),"")</f>
        <v/>
      </c>
      <c r="P78" s="34">
        <f>IF(AND(P$5&gt;$E78,P$5&lt;=$F78),IF(P$5=$E78+1,$C78,""),"")</f>
        <v/>
      </c>
      <c r="Q78" s="34">
        <f>IF(AND(Q$5&gt;$E78,Q$5&lt;=$F78),IF(Q$5=$E78+1,$C78,""),"")</f>
        <v/>
      </c>
      <c r="R78" s="34">
        <f>IF(AND(R$5&gt;$E78,R$5&lt;=$F78),IF(R$5=$E78+1,$C78,""),"")</f>
        <v/>
      </c>
      <c r="S78" s="34">
        <f>IF(AND(S$5&gt;$E78,S$5&lt;=$F78),IF(S$5=$E78+1,$C78,""),"")</f>
        <v/>
      </c>
      <c r="T78" s="34">
        <f>IF(AND(T$5&gt;$E78,T$5&lt;=$F78),IF(T$5=$E78+1,$C78,""),"")</f>
        <v/>
      </c>
      <c r="U78" s="34">
        <f>IF(AND(U$5&gt;$E78,U$5&lt;=$F78),IF(U$5=$E78+1,$C78,""),"")</f>
        <v/>
      </c>
      <c r="V78" s="34">
        <f>IF(AND(V$5&gt;$E78,V$5&lt;=$F78),IF(V$5=$E78+1,$C78,""),"")</f>
        <v/>
      </c>
      <c r="W78" s="34">
        <f>IF(AND(W$5&gt;$E78,W$5&lt;=$F78),IF(W$5=$E78+1,$C78,""),"")</f>
        <v/>
      </c>
      <c r="X78" s="34">
        <f>IF(AND(X$5&gt;$E78,X$5&lt;=$F78),IF(X$5=$E78+1,$C78,""),"")</f>
        <v/>
      </c>
      <c r="Y78" s="34">
        <f>IF(AND(Y$5&gt;$E78,Y$5&lt;=$F78),IF(Y$5=$E78+1,$C78,""),"")</f>
        <v/>
      </c>
      <c r="Z78" s="34">
        <f>IF(AND(Z$5&gt;$E78,Z$5&lt;=$F78),IF(Z$5=$E78+1,$C78,""),"")</f>
        <v/>
      </c>
      <c r="AA78" s="34">
        <f>IF(AND(AA$5&gt;$E78,AA$5&lt;=$F78),IF(AA$5=$E78+1,$C78,""),"")</f>
        <v/>
      </c>
      <c r="AB78" s="34">
        <f>IF(AND(AB$5&gt;$E78,AB$5&lt;=$F78),IF(AB$5=$E78+1,$C78,""),"")</f>
        <v/>
      </c>
      <c r="AC78" s="34">
        <f>IF(AND(AC$5&gt;$E78,AC$5&lt;=$F78),IF(AC$5=$E78+1,$C78,""),"")</f>
        <v/>
      </c>
      <c r="AD78" s="34">
        <f>IF(AND(AD$5&gt;$E78,AD$5&lt;=$F78),IF(AD$5=$E78+1,$C78,""),"")</f>
        <v/>
      </c>
      <c r="AE78" s="34">
        <f>IF(AND(AE$5&gt;$E78,AE$5&lt;=$F78),IF(AE$5=$E78+1,$C78,""),"")</f>
        <v/>
      </c>
      <c r="AF78" s="34">
        <f>IF(AND(AF$5&gt;$E78,AF$5&lt;=$F78),IF(AF$5=$E78+1,$C78,""),"")</f>
        <v/>
      </c>
      <c r="AG78" s="34">
        <f>IF(AND(AG$5&gt;$E78,AG$5&lt;=$F78),IF(AG$5=$E78+1,$C78,""),"")</f>
        <v/>
      </c>
      <c r="AH78" s="34">
        <f>IF(AND(AH$5&gt;$E78,AH$5&lt;=$F78),IF(AH$5=$E78+1,$C78,""),"")</f>
        <v/>
      </c>
      <c r="AI78" s="34">
        <f>IF(AND(AI$5&gt;$E78,AI$5&lt;=$F78),IF(AI$5=$E78+1,$C78,""),"")</f>
        <v/>
      </c>
      <c r="AJ78" s="34">
        <f>IF(AND(AJ$5&gt;$E78,AJ$5&lt;=$F78),IF(AJ$5=$E78+1,$C78,""),"")</f>
        <v/>
      </c>
      <c r="AK78" s="34">
        <f>IF(AND(AK$5&gt;$E78,AK$5&lt;=$F78),IF(AK$5=$E78+1,$C78,""),"")</f>
        <v/>
      </c>
      <c r="AL78" s="34">
        <f>IF(AND(AL$5&gt;$E78,AL$5&lt;=$F78),IF(AL$5=$E78+1,$C78,""),"")</f>
        <v/>
      </c>
      <c r="AM78" s="34">
        <f>IF(AND(AM$5&gt;$E78,AM$5&lt;=$F78),IF(AM$5=$E78+1,$C78,""),"")</f>
        <v/>
      </c>
      <c r="AN78" s="34">
        <f>IF(AND(AN$5&gt;$E78,AN$5&lt;=$F78),IF(AN$5=$E78+1,$C78,""),"")</f>
        <v/>
      </c>
      <c r="AO78" s="34">
        <f>IF(AND(AO$5&gt;$E78,AO$5&lt;=$F78),IF(AO$5=$E78+1,$C78,""),"")</f>
        <v/>
      </c>
      <c r="AP78" s="34">
        <f>IF(AND(AP$5&gt;$E78,AP$5&lt;=$F78),IF(AP$5=$E78+1,$C78,""),"")</f>
        <v/>
      </c>
      <c r="AQ78" s="34">
        <f>IF(AND(AQ$5&gt;$E78,AQ$5&lt;=$F78),IF(AQ$5=$E78+1,$C78,""),"")</f>
        <v/>
      </c>
      <c r="AR78" s="34">
        <f>IF(AND(AR$5&gt;$E78,AR$5&lt;=$F78),IF(AR$5=$E78+1,$C78,""),"")</f>
        <v/>
      </c>
      <c r="AS78" s="34">
        <f>IF(AND(AS$5&gt;$E78,AS$5&lt;=$F78),IF(AS$5=$E78+1,$C78,""),"")</f>
        <v/>
      </c>
      <c r="AT78" s="34">
        <f>IF(AND(AT$5&gt;$E78,AT$5&lt;=$F78),IF(AT$5=$E78+1,$C78,""),"")</f>
        <v/>
      </c>
      <c r="AU78" s="34">
        <f>IF(AND(AU$5&gt;$E78,AU$5&lt;=$F78),IF(AU$5=$E78+1,$C78,""),"")</f>
        <v/>
      </c>
      <c r="AV78" s="34">
        <f>IF(AND(AV$5&gt;$E78,AV$5&lt;=$F78),IF(AV$5=$E78+1,$C78,""),"")</f>
        <v/>
      </c>
      <c r="AW78" s="34">
        <f>IF(AND(AW$5&gt;$E78,AW$5&lt;=$F78),IF(AW$5=$E78+1,$C78,""),"")</f>
        <v/>
      </c>
      <c r="AX78" s="34">
        <f>IF(AND(AX$5&gt;$E78,AX$5&lt;=$F78),IF(AX$5=$E78+1,$C78,""),"")</f>
        <v/>
      </c>
      <c r="AY78" s="34">
        <f>IF(AND(AY$5&gt;$E78,AY$5&lt;=$F78),IF(AY$5=$E78+1,$C78,""),"")</f>
        <v/>
      </c>
      <c r="AZ78" s="34">
        <f>IF(AND(AZ$5&gt;$E78,AZ$5&lt;=$F78),IF(AZ$5=$E78+1,$C78,""),"")</f>
        <v/>
      </c>
      <c r="BA78" s="34">
        <f>IF(AND(BA$5&gt;$E78,BA$5&lt;=$F78),IF(BA$5=$E78+1,$C78,""),"")</f>
        <v/>
      </c>
      <c r="BB78" s="34">
        <f>IF(AND(BB$5&gt;$E78,BB$5&lt;=$F78),IF(BB$5=$E78+1,$C78,""),"")</f>
        <v/>
      </c>
      <c r="BC78" s="34">
        <f>IF(AND(BC$5&gt;$E78,BC$5&lt;=$F78),IF(BC$5=$E78+1,$C78,""),"")</f>
        <v/>
      </c>
      <c r="BD78" s="34">
        <f>IF(AND(BD$5&gt;$E78,BD$5&lt;=$F78),IF(BD$5=$E78+1,$C78,""),"")</f>
        <v/>
      </c>
      <c r="BE78" s="34">
        <f>IF(AND(BE$5&gt;$E78,BE$5&lt;=$F78),IF(BE$5=$E78+1,$C78,""),"")</f>
        <v/>
      </c>
      <c r="BF78" s="34">
        <f>IF(AND(BF$5&gt;$E78,BF$5&lt;=$F78),IF(BF$5=$E78+1,$C78,""),"")</f>
        <v/>
      </c>
      <c r="BG78" s="34">
        <f>IF(AND(BG$5&gt;$E78,BG$5&lt;=$F78),IF(BG$5=$E78+1,$C78,""),"")</f>
        <v/>
      </c>
      <c r="BH78" s="34">
        <f>IF(AND(BH$5&gt;$E78,BH$5&lt;=$F78),IF(BH$5=$E78+1,$C78,""),"")</f>
        <v/>
      </c>
      <c r="BI78" s="34">
        <f>IF(AND(BI$5&gt;$E78,BI$5&lt;=$F78),IF(BI$5=$E78+1,$C78,""),"")</f>
        <v/>
      </c>
      <c r="BJ78" s="34">
        <f>IF(AND(BJ$5&gt;$E78,BJ$5&lt;=$F78),IF(BJ$5=$E78+1,$C78,""),"")</f>
        <v/>
      </c>
      <c r="BK78" s="34">
        <f>IF(AND(BK$5&gt;$E78,BK$5&lt;=$F78),IF(BK$5=$E78+1,$C78,""),"")</f>
        <v/>
      </c>
      <c r="BL78" s="34">
        <f>IF(AND(BL$5&gt;$E78,BL$5&lt;=$F78),IF(BL$5=$E78+1,$C78,""),"")</f>
        <v/>
      </c>
      <c r="BM78" s="34">
        <f>IF(AND(BM$5&gt;$E78,BM$5&lt;=$F78),IF(BM$5=$E78+1,$C78,""),"")</f>
        <v/>
      </c>
      <c r="BN78" s="34">
        <f>IF(AND(BN$5&gt;$E78,BN$5&lt;=$F78),IF(BN$5=$E78+1,$C78,""),"")</f>
        <v/>
      </c>
      <c r="BO78" s="34">
        <f>IF(AND(BO$5&gt;$E78,BO$5&lt;=$F78),IF(BO$5=$E78+1,$C78,""),"")</f>
        <v/>
      </c>
      <c r="BP78" s="34">
        <f>IF(AND(BP$5&gt;$E78,BP$5&lt;=$F78),IF(BP$5=$E78+1,$C78,""),"")</f>
        <v/>
      </c>
      <c r="BQ78" s="34">
        <f>IF(AND(BQ$5&gt;$E78,BQ$5&lt;=$F78),IF(BQ$5=$E78+1,$C78,""),"")</f>
        <v/>
      </c>
      <c r="BR78" s="34">
        <f>IF(AND(BR$5&gt;$E78,BR$5&lt;=$F78),IF(BR$5=$E78+1,$C78,""),"")</f>
        <v/>
      </c>
      <c r="BS78" s="34">
        <f>IF(AND(BS$5&gt;$E78,BS$5&lt;=$F78),IF(BS$5=$E78+1,$C78,""),"")</f>
        <v/>
      </c>
      <c r="BT78" s="34">
        <f>IF(AND(BT$5&gt;$E78,BT$5&lt;=$F78),IF(BT$5=$E78+1,$C78,""),"")</f>
        <v/>
      </c>
      <c r="BU78" s="34">
        <f>IF(AND(BU$5&gt;$E78,BU$5&lt;=$F78),IF(BU$5=$E78+1,$C78,""),"")</f>
        <v/>
      </c>
      <c r="BV78" s="34">
        <f>IF(AND(BV$5&gt;$E78,BV$5&lt;=$F78),IF(BV$5=$E78+1,$C78,""),"")</f>
        <v/>
      </c>
      <c r="BW78" s="34">
        <f>IF(AND(BW$5&gt;$E78,BW$5&lt;=$F78),IF(BW$5=$E78+1,$C78,""),"")</f>
        <v/>
      </c>
      <c r="BX78" s="34">
        <f>IF(AND(BX$5&gt;$E78,BX$5&lt;=$F78),IF(BX$5=$E78+1,$C78,""),"")</f>
        <v/>
      </c>
      <c r="BY78" s="34">
        <f>IF(AND(BY$5&gt;$E78,BY$5&lt;=$F78),IF(BY$5=$E78+1,$C78,""),"")</f>
        <v/>
      </c>
      <c r="BZ78" s="34">
        <f>IF(AND(BZ$5&gt;$E78,BZ$5&lt;=$F78),IF(BZ$5=$E78+1,$C78,""),"")</f>
        <v/>
      </c>
      <c r="CA78" s="34">
        <f>IF(AND(CA$5&gt;$E78,CA$5&lt;=$F78),IF(CA$5=$E78+1,$C78,""),"")</f>
        <v/>
      </c>
      <c r="CB78" s="34">
        <f>IF(AND(CB$5&gt;$E78,CB$5&lt;=$F78),IF(CB$5=$E78+1,$C78,""),"")</f>
        <v/>
      </c>
      <c r="CC78" s="34">
        <f>IF(AND(CC$5&gt;$E78,CC$5&lt;=$F78),IF(CC$5=$E78+1,$C78,""),"")</f>
        <v/>
      </c>
      <c r="CD78" s="34">
        <f>IF(AND(CD$5&gt;$E78,CD$5&lt;=$F78),IF(CD$5=$E78+1,$C78,""),"")</f>
        <v/>
      </c>
      <c r="CE78" s="34">
        <f>IF(AND(CE$5&gt;$E78,CE$5&lt;=$F78),IF(CE$5=$E78+1,$C78,""),"")</f>
        <v/>
      </c>
      <c r="CF78" s="34">
        <f>IF(AND(CF$5&gt;$E78,CF$5&lt;=$F78),IF(CF$5=$E78+1,$C78,""),"")</f>
        <v/>
      </c>
      <c r="CG78" s="34">
        <f>IF(AND(CG$5&gt;$E78,CG$5&lt;=$F78),IF(CG$5=$E78+1,$C78,""),"")</f>
        <v/>
      </c>
      <c r="CH78" s="34">
        <f>IF(AND(CH$5&gt;$E78,CH$5&lt;=$F78),IF(CH$5=$E78+1,$C78,""),"")</f>
        <v/>
      </c>
      <c r="CI78" s="34">
        <f>IF(AND(CI$5&gt;$E78,CI$5&lt;=$F78),IF(CI$5=$E78+1,$C78,""),"")</f>
        <v/>
      </c>
      <c r="CJ78" s="34">
        <f>IF(AND(CJ$5&gt;$E78,CJ$5&lt;=$F78),IF(CJ$5=$E78+1,$C78,""),"")</f>
        <v/>
      </c>
      <c r="CK78" s="34">
        <f>IF(AND(CK$5&gt;$E78,CK$5&lt;=$F78),IF(CK$5=$E78+1,$C78,""),"")</f>
        <v/>
      </c>
      <c r="CL78" s="34">
        <f>IF(AND(CL$5&gt;$E78,CL$5&lt;=$F78),IF(CL$5=$E78+1,$C78,""),"")</f>
        <v/>
      </c>
      <c r="CM78" s="34">
        <f>IF(AND(CM$5&gt;$E78,CM$5&lt;=$F78),IF(CM$5=$E78+1,$C78,""),"")</f>
        <v/>
      </c>
      <c r="CN78" s="34">
        <f>IF(AND(CN$5&gt;$E78,CN$5&lt;=$F78),IF(CN$5=$E78+1,$C78,""),"")</f>
        <v/>
      </c>
      <c r="CO78" s="34">
        <f>IF(AND(CO$5&gt;$E78,CO$5&lt;=$F78),IF(CO$5=$E78+1,$C78,""),"")</f>
        <v/>
      </c>
      <c r="CP78" s="34">
        <f>IF(AND(CP$5&gt;$E78,CP$5&lt;=$F78),IF(CP$5=$E78+1,$C78,""),"")</f>
        <v/>
      </c>
      <c r="CQ78" s="34">
        <f>IF(AND(CQ$5&gt;$E78,CQ$5&lt;=$F78),IF(CQ$5=$E78+1,$C78,""),"")</f>
        <v/>
      </c>
      <c r="CR78" s="34">
        <f>IF(AND(CR$5&gt;$E78,CR$5&lt;=$F78),IF(CR$5=$E78+1,$C78,""),"")</f>
        <v/>
      </c>
      <c r="CS78" s="34">
        <f>IF(AND(CS$5&gt;$E78,CS$5&lt;=$F78),IF(CS$5=$E78+1,$C78,""),"")</f>
        <v/>
      </c>
    </row>
    <row r="79">
      <c r="A79" s="32">
        <f>Plan!A69</f>
        <v/>
      </c>
      <c r="B79" s="33">
        <f>Plan!C69</f>
        <v/>
      </c>
      <c r="C79" s="16">
        <f>Plan!D69</f>
        <v/>
      </c>
      <c r="D79" s="16">
        <f>Plan!I69</f>
        <v/>
      </c>
      <c r="E79" s="16">
        <f>Plan!K69</f>
        <v/>
      </c>
      <c r="F79" s="16">
        <f>Plan!L69</f>
        <v/>
      </c>
      <c r="G79" s="16">
        <f>Plan!O69</f>
        <v/>
      </c>
      <c r="H79" s="34">
        <f>IF(AND(H$5&gt;$E79,H$5&lt;=$F79),IF(H$5=$E79+1,$C79,""),"")</f>
        <v/>
      </c>
      <c r="I79" s="34">
        <f>IF(AND(I$5&gt;$E79,I$5&lt;=$F79),IF(I$5=$E79+1,$C79,""),"")</f>
        <v/>
      </c>
      <c r="J79" s="34">
        <f>IF(AND(J$5&gt;$E79,J$5&lt;=$F79),IF(J$5=$E79+1,$C79,""),"")</f>
        <v/>
      </c>
      <c r="K79" s="34">
        <f>IF(AND(K$5&gt;$E79,K$5&lt;=$F79),IF(K$5=$E79+1,$C79,""),"")</f>
        <v/>
      </c>
      <c r="L79" s="34">
        <f>IF(AND(L$5&gt;$E79,L$5&lt;=$F79),IF(L$5=$E79+1,$C79,""),"")</f>
        <v/>
      </c>
      <c r="M79" s="34">
        <f>IF(AND(M$5&gt;$E79,M$5&lt;=$F79),IF(M$5=$E79+1,$C79,""),"")</f>
        <v/>
      </c>
      <c r="N79" s="34">
        <f>IF(AND(N$5&gt;$E79,N$5&lt;=$F79),IF(N$5=$E79+1,$C79,""),"")</f>
        <v/>
      </c>
      <c r="O79" s="34">
        <f>IF(AND(O$5&gt;$E79,O$5&lt;=$F79),IF(O$5=$E79+1,$C79,""),"")</f>
        <v/>
      </c>
      <c r="P79" s="34">
        <f>IF(AND(P$5&gt;$E79,P$5&lt;=$F79),IF(P$5=$E79+1,$C79,""),"")</f>
        <v/>
      </c>
      <c r="Q79" s="34">
        <f>IF(AND(Q$5&gt;$E79,Q$5&lt;=$F79),IF(Q$5=$E79+1,$C79,""),"")</f>
        <v/>
      </c>
      <c r="R79" s="34">
        <f>IF(AND(R$5&gt;$E79,R$5&lt;=$F79),IF(R$5=$E79+1,$C79,""),"")</f>
        <v/>
      </c>
      <c r="S79" s="34">
        <f>IF(AND(S$5&gt;$E79,S$5&lt;=$F79),IF(S$5=$E79+1,$C79,""),"")</f>
        <v/>
      </c>
      <c r="T79" s="34">
        <f>IF(AND(T$5&gt;$E79,T$5&lt;=$F79),IF(T$5=$E79+1,$C79,""),"")</f>
        <v/>
      </c>
      <c r="U79" s="34">
        <f>IF(AND(U$5&gt;$E79,U$5&lt;=$F79),IF(U$5=$E79+1,$C79,""),"")</f>
        <v/>
      </c>
      <c r="V79" s="34">
        <f>IF(AND(V$5&gt;$E79,V$5&lt;=$F79),IF(V$5=$E79+1,$C79,""),"")</f>
        <v/>
      </c>
      <c r="W79" s="34">
        <f>IF(AND(W$5&gt;$E79,W$5&lt;=$F79),IF(W$5=$E79+1,$C79,""),"")</f>
        <v/>
      </c>
      <c r="X79" s="34">
        <f>IF(AND(X$5&gt;$E79,X$5&lt;=$F79),IF(X$5=$E79+1,$C79,""),"")</f>
        <v/>
      </c>
      <c r="Y79" s="34">
        <f>IF(AND(Y$5&gt;$E79,Y$5&lt;=$F79),IF(Y$5=$E79+1,$C79,""),"")</f>
        <v/>
      </c>
      <c r="Z79" s="34">
        <f>IF(AND(Z$5&gt;$E79,Z$5&lt;=$F79),IF(Z$5=$E79+1,$C79,""),"")</f>
        <v/>
      </c>
      <c r="AA79" s="34">
        <f>IF(AND(AA$5&gt;$E79,AA$5&lt;=$F79),IF(AA$5=$E79+1,$C79,""),"")</f>
        <v/>
      </c>
      <c r="AB79" s="34">
        <f>IF(AND(AB$5&gt;$E79,AB$5&lt;=$F79),IF(AB$5=$E79+1,$C79,""),"")</f>
        <v/>
      </c>
      <c r="AC79" s="34">
        <f>IF(AND(AC$5&gt;$E79,AC$5&lt;=$F79),IF(AC$5=$E79+1,$C79,""),"")</f>
        <v/>
      </c>
      <c r="AD79" s="34">
        <f>IF(AND(AD$5&gt;$E79,AD$5&lt;=$F79),IF(AD$5=$E79+1,$C79,""),"")</f>
        <v/>
      </c>
      <c r="AE79" s="34">
        <f>IF(AND(AE$5&gt;$E79,AE$5&lt;=$F79),IF(AE$5=$E79+1,$C79,""),"")</f>
        <v/>
      </c>
      <c r="AF79" s="34">
        <f>IF(AND(AF$5&gt;$E79,AF$5&lt;=$F79),IF(AF$5=$E79+1,$C79,""),"")</f>
        <v/>
      </c>
      <c r="AG79" s="34">
        <f>IF(AND(AG$5&gt;$E79,AG$5&lt;=$F79),IF(AG$5=$E79+1,$C79,""),"")</f>
        <v/>
      </c>
      <c r="AH79" s="34">
        <f>IF(AND(AH$5&gt;$E79,AH$5&lt;=$F79),IF(AH$5=$E79+1,$C79,""),"")</f>
        <v/>
      </c>
      <c r="AI79" s="34">
        <f>IF(AND(AI$5&gt;$E79,AI$5&lt;=$F79),IF(AI$5=$E79+1,$C79,""),"")</f>
        <v/>
      </c>
      <c r="AJ79" s="34">
        <f>IF(AND(AJ$5&gt;$E79,AJ$5&lt;=$F79),IF(AJ$5=$E79+1,$C79,""),"")</f>
        <v/>
      </c>
      <c r="AK79" s="34">
        <f>IF(AND(AK$5&gt;$E79,AK$5&lt;=$F79),IF(AK$5=$E79+1,$C79,""),"")</f>
        <v/>
      </c>
      <c r="AL79" s="34">
        <f>IF(AND(AL$5&gt;$E79,AL$5&lt;=$F79),IF(AL$5=$E79+1,$C79,""),"")</f>
        <v/>
      </c>
      <c r="AM79" s="34">
        <f>IF(AND(AM$5&gt;$E79,AM$5&lt;=$F79),IF(AM$5=$E79+1,$C79,""),"")</f>
        <v/>
      </c>
      <c r="AN79" s="34">
        <f>IF(AND(AN$5&gt;$E79,AN$5&lt;=$F79),IF(AN$5=$E79+1,$C79,""),"")</f>
        <v/>
      </c>
      <c r="AO79" s="34">
        <f>IF(AND(AO$5&gt;$E79,AO$5&lt;=$F79),IF(AO$5=$E79+1,$C79,""),"")</f>
        <v/>
      </c>
      <c r="AP79" s="34">
        <f>IF(AND(AP$5&gt;$E79,AP$5&lt;=$F79),IF(AP$5=$E79+1,$C79,""),"")</f>
        <v/>
      </c>
      <c r="AQ79" s="34">
        <f>IF(AND(AQ$5&gt;$E79,AQ$5&lt;=$F79),IF(AQ$5=$E79+1,$C79,""),"")</f>
        <v/>
      </c>
      <c r="AR79" s="34">
        <f>IF(AND(AR$5&gt;$E79,AR$5&lt;=$F79),IF(AR$5=$E79+1,$C79,""),"")</f>
        <v/>
      </c>
      <c r="AS79" s="34">
        <f>IF(AND(AS$5&gt;$E79,AS$5&lt;=$F79),IF(AS$5=$E79+1,$C79,""),"")</f>
        <v/>
      </c>
      <c r="AT79" s="34">
        <f>IF(AND(AT$5&gt;$E79,AT$5&lt;=$F79),IF(AT$5=$E79+1,$C79,""),"")</f>
        <v/>
      </c>
      <c r="AU79" s="34">
        <f>IF(AND(AU$5&gt;$E79,AU$5&lt;=$F79),IF(AU$5=$E79+1,$C79,""),"")</f>
        <v/>
      </c>
      <c r="AV79" s="34">
        <f>IF(AND(AV$5&gt;$E79,AV$5&lt;=$F79),IF(AV$5=$E79+1,$C79,""),"")</f>
        <v/>
      </c>
      <c r="AW79" s="34">
        <f>IF(AND(AW$5&gt;$E79,AW$5&lt;=$F79),IF(AW$5=$E79+1,$C79,""),"")</f>
        <v/>
      </c>
      <c r="AX79" s="34">
        <f>IF(AND(AX$5&gt;$E79,AX$5&lt;=$F79),IF(AX$5=$E79+1,$C79,""),"")</f>
        <v/>
      </c>
      <c r="AY79" s="34">
        <f>IF(AND(AY$5&gt;$E79,AY$5&lt;=$F79),IF(AY$5=$E79+1,$C79,""),"")</f>
        <v/>
      </c>
      <c r="AZ79" s="34">
        <f>IF(AND(AZ$5&gt;$E79,AZ$5&lt;=$F79),IF(AZ$5=$E79+1,$C79,""),"")</f>
        <v/>
      </c>
      <c r="BA79" s="34">
        <f>IF(AND(BA$5&gt;$E79,BA$5&lt;=$F79),IF(BA$5=$E79+1,$C79,""),"")</f>
        <v/>
      </c>
      <c r="BB79" s="34">
        <f>IF(AND(BB$5&gt;$E79,BB$5&lt;=$F79),IF(BB$5=$E79+1,$C79,""),"")</f>
        <v/>
      </c>
      <c r="BC79" s="34">
        <f>IF(AND(BC$5&gt;$E79,BC$5&lt;=$F79),IF(BC$5=$E79+1,$C79,""),"")</f>
        <v/>
      </c>
      <c r="BD79" s="34">
        <f>IF(AND(BD$5&gt;$E79,BD$5&lt;=$F79),IF(BD$5=$E79+1,$C79,""),"")</f>
        <v/>
      </c>
      <c r="BE79" s="34">
        <f>IF(AND(BE$5&gt;$E79,BE$5&lt;=$F79),IF(BE$5=$E79+1,$C79,""),"")</f>
        <v/>
      </c>
      <c r="BF79" s="34">
        <f>IF(AND(BF$5&gt;$E79,BF$5&lt;=$F79),IF(BF$5=$E79+1,$C79,""),"")</f>
        <v/>
      </c>
      <c r="BG79" s="34">
        <f>IF(AND(BG$5&gt;$E79,BG$5&lt;=$F79),IF(BG$5=$E79+1,$C79,""),"")</f>
        <v/>
      </c>
      <c r="BH79" s="34">
        <f>IF(AND(BH$5&gt;$E79,BH$5&lt;=$F79),IF(BH$5=$E79+1,$C79,""),"")</f>
        <v/>
      </c>
      <c r="BI79" s="34">
        <f>IF(AND(BI$5&gt;$E79,BI$5&lt;=$F79),IF(BI$5=$E79+1,$C79,""),"")</f>
        <v/>
      </c>
      <c r="BJ79" s="34">
        <f>IF(AND(BJ$5&gt;$E79,BJ$5&lt;=$F79),IF(BJ$5=$E79+1,$C79,""),"")</f>
        <v/>
      </c>
      <c r="BK79" s="34">
        <f>IF(AND(BK$5&gt;$E79,BK$5&lt;=$F79),IF(BK$5=$E79+1,$C79,""),"")</f>
        <v/>
      </c>
      <c r="BL79" s="34">
        <f>IF(AND(BL$5&gt;$E79,BL$5&lt;=$F79),IF(BL$5=$E79+1,$C79,""),"")</f>
        <v/>
      </c>
      <c r="BM79" s="34">
        <f>IF(AND(BM$5&gt;$E79,BM$5&lt;=$F79),IF(BM$5=$E79+1,$C79,""),"")</f>
        <v/>
      </c>
      <c r="BN79" s="34">
        <f>IF(AND(BN$5&gt;$E79,BN$5&lt;=$F79),IF(BN$5=$E79+1,$C79,""),"")</f>
        <v/>
      </c>
      <c r="BO79" s="34">
        <f>IF(AND(BO$5&gt;$E79,BO$5&lt;=$F79),IF(BO$5=$E79+1,$C79,""),"")</f>
        <v/>
      </c>
      <c r="BP79" s="34">
        <f>IF(AND(BP$5&gt;$E79,BP$5&lt;=$F79),IF(BP$5=$E79+1,$C79,""),"")</f>
        <v/>
      </c>
      <c r="BQ79" s="34">
        <f>IF(AND(BQ$5&gt;$E79,BQ$5&lt;=$F79),IF(BQ$5=$E79+1,$C79,""),"")</f>
        <v/>
      </c>
      <c r="BR79" s="34">
        <f>IF(AND(BR$5&gt;$E79,BR$5&lt;=$F79),IF(BR$5=$E79+1,$C79,""),"")</f>
        <v/>
      </c>
      <c r="BS79" s="34">
        <f>IF(AND(BS$5&gt;$E79,BS$5&lt;=$F79),IF(BS$5=$E79+1,$C79,""),"")</f>
        <v/>
      </c>
      <c r="BT79" s="34">
        <f>IF(AND(BT$5&gt;$E79,BT$5&lt;=$F79),IF(BT$5=$E79+1,$C79,""),"")</f>
        <v/>
      </c>
      <c r="BU79" s="34">
        <f>IF(AND(BU$5&gt;$E79,BU$5&lt;=$F79),IF(BU$5=$E79+1,$C79,""),"")</f>
        <v/>
      </c>
      <c r="BV79" s="34">
        <f>IF(AND(BV$5&gt;$E79,BV$5&lt;=$F79),IF(BV$5=$E79+1,$C79,""),"")</f>
        <v/>
      </c>
      <c r="BW79" s="34">
        <f>IF(AND(BW$5&gt;$E79,BW$5&lt;=$F79),IF(BW$5=$E79+1,$C79,""),"")</f>
        <v/>
      </c>
      <c r="BX79" s="34">
        <f>IF(AND(BX$5&gt;$E79,BX$5&lt;=$F79),IF(BX$5=$E79+1,$C79,""),"")</f>
        <v/>
      </c>
      <c r="BY79" s="34">
        <f>IF(AND(BY$5&gt;$E79,BY$5&lt;=$F79),IF(BY$5=$E79+1,$C79,""),"")</f>
        <v/>
      </c>
      <c r="BZ79" s="34">
        <f>IF(AND(BZ$5&gt;$E79,BZ$5&lt;=$F79),IF(BZ$5=$E79+1,$C79,""),"")</f>
        <v/>
      </c>
      <c r="CA79" s="34">
        <f>IF(AND(CA$5&gt;$E79,CA$5&lt;=$F79),IF(CA$5=$E79+1,$C79,""),"")</f>
        <v/>
      </c>
      <c r="CB79" s="34">
        <f>IF(AND(CB$5&gt;$E79,CB$5&lt;=$F79),IF(CB$5=$E79+1,$C79,""),"")</f>
        <v/>
      </c>
      <c r="CC79" s="34">
        <f>IF(AND(CC$5&gt;$E79,CC$5&lt;=$F79),IF(CC$5=$E79+1,$C79,""),"")</f>
        <v/>
      </c>
      <c r="CD79" s="34">
        <f>IF(AND(CD$5&gt;$E79,CD$5&lt;=$F79),IF(CD$5=$E79+1,$C79,""),"")</f>
        <v/>
      </c>
      <c r="CE79" s="34">
        <f>IF(AND(CE$5&gt;$E79,CE$5&lt;=$F79),IF(CE$5=$E79+1,$C79,""),"")</f>
        <v/>
      </c>
      <c r="CF79" s="34">
        <f>IF(AND(CF$5&gt;$E79,CF$5&lt;=$F79),IF(CF$5=$E79+1,$C79,""),"")</f>
        <v/>
      </c>
      <c r="CG79" s="34">
        <f>IF(AND(CG$5&gt;$E79,CG$5&lt;=$F79),IF(CG$5=$E79+1,$C79,""),"")</f>
        <v/>
      </c>
      <c r="CH79" s="34">
        <f>IF(AND(CH$5&gt;$E79,CH$5&lt;=$F79),IF(CH$5=$E79+1,$C79,""),"")</f>
        <v/>
      </c>
      <c r="CI79" s="34">
        <f>IF(AND(CI$5&gt;$E79,CI$5&lt;=$F79),IF(CI$5=$E79+1,$C79,""),"")</f>
        <v/>
      </c>
      <c r="CJ79" s="34">
        <f>IF(AND(CJ$5&gt;$E79,CJ$5&lt;=$F79),IF(CJ$5=$E79+1,$C79,""),"")</f>
        <v/>
      </c>
      <c r="CK79" s="34">
        <f>IF(AND(CK$5&gt;$E79,CK$5&lt;=$F79),IF(CK$5=$E79+1,$C79,""),"")</f>
        <v/>
      </c>
      <c r="CL79" s="34">
        <f>IF(AND(CL$5&gt;$E79,CL$5&lt;=$F79),IF(CL$5=$E79+1,$C79,""),"")</f>
        <v/>
      </c>
      <c r="CM79" s="34">
        <f>IF(AND(CM$5&gt;$E79,CM$5&lt;=$F79),IF(CM$5=$E79+1,$C79,""),"")</f>
        <v/>
      </c>
      <c r="CN79" s="34">
        <f>IF(AND(CN$5&gt;$E79,CN$5&lt;=$F79),IF(CN$5=$E79+1,$C79,""),"")</f>
        <v/>
      </c>
      <c r="CO79" s="34">
        <f>IF(AND(CO$5&gt;$E79,CO$5&lt;=$F79),IF(CO$5=$E79+1,$C79,""),"")</f>
        <v/>
      </c>
      <c r="CP79" s="34">
        <f>IF(AND(CP$5&gt;$E79,CP$5&lt;=$F79),IF(CP$5=$E79+1,$C79,""),"")</f>
        <v/>
      </c>
      <c r="CQ79" s="34">
        <f>IF(AND(CQ$5&gt;$E79,CQ$5&lt;=$F79),IF(CQ$5=$E79+1,$C79,""),"")</f>
        <v/>
      </c>
      <c r="CR79" s="34">
        <f>IF(AND(CR$5&gt;$E79,CR$5&lt;=$F79),IF(CR$5=$E79+1,$C79,""),"")</f>
        <v/>
      </c>
      <c r="CS79" s="34">
        <f>IF(AND(CS$5&gt;$E79,CS$5&lt;=$F79),IF(CS$5=$E79+1,$C79,""),"")</f>
        <v/>
      </c>
    </row>
    <row r="80">
      <c r="A80" s="32">
        <f>Plan!A70</f>
        <v/>
      </c>
      <c r="B80" s="33">
        <f>Plan!C70</f>
        <v/>
      </c>
      <c r="C80" s="16">
        <f>Plan!D70</f>
        <v/>
      </c>
      <c r="D80" s="16">
        <f>Plan!I70</f>
        <v/>
      </c>
      <c r="E80" s="16">
        <f>Plan!K70</f>
        <v/>
      </c>
      <c r="F80" s="16">
        <f>Plan!L70</f>
        <v/>
      </c>
      <c r="G80" s="16">
        <f>Plan!O70</f>
        <v/>
      </c>
      <c r="H80" s="34">
        <f>IF(AND(H$5&gt;$E80,H$5&lt;=$F80),IF(H$5=$E80+1,$C80,""),"")</f>
        <v/>
      </c>
      <c r="I80" s="34">
        <f>IF(AND(I$5&gt;$E80,I$5&lt;=$F80),IF(I$5=$E80+1,$C80,""),"")</f>
        <v/>
      </c>
      <c r="J80" s="34">
        <f>IF(AND(J$5&gt;$E80,J$5&lt;=$F80),IF(J$5=$E80+1,$C80,""),"")</f>
        <v/>
      </c>
      <c r="K80" s="34">
        <f>IF(AND(K$5&gt;$E80,K$5&lt;=$F80),IF(K$5=$E80+1,$C80,""),"")</f>
        <v/>
      </c>
      <c r="L80" s="34">
        <f>IF(AND(L$5&gt;$E80,L$5&lt;=$F80),IF(L$5=$E80+1,$C80,""),"")</f>
        <v/>
      </c>
      <c r="M80" s="34">
        <f>IF(AND(M$5&gt;$E80,M$5&lt;=$F80),IF(M$5=$E80+1,$C80,""),"")</f>
        <v/>
      </c>
      <c r="N80" s="34">
        <f>IF(AND(N$5&gt;$E80,N$5&lt;=$F80),IF(N$5=$E80+1,$C80,""),"")</f>
        <v/>
      </c>
      <c r="O80" s="34">
        <f>IF(AND(O$5&gt;$E80,O$5&lt;=$F80),IF(O$5=$E80+1,$C80,""),"")</f>
        <v/>
      </c>
      <c r="P80" s="34">
        <f>IF(AND(P$5&gt;$E80,P$5&lt;=$F80),IF(P$5=$E80+1,$C80,""),"")</f>
        <v/>
      </c>
      <c r="Q80" s="34">
        <f>IF(AND(Q$5&gt;$E80,Q$5&lt;=$F80),IF(Q$5=$E80+1,$C80,""),"")</f>
        <v/>
      </c>
      <c r="R80" s="34">
        <f>IF(AND(R$5&gt;$E80,R$5&lt;=$F80),IF(R$5=$E80+1,$C80,""),"")</f>
        <v/>
      </c>
      <c r="S80" s="34">
        <f>IF(AND(S$5&gt;$E80,S$5&lt;=$F80),IF(S$5=$E80+1,$C80,""),"")</f>
        <v/>
      </c>
      <c r="T80" s="34">
        <f>IF(AND(T$5&gt;$E80,T$5&lt;=$F80),IF(T$5=$E80+1,$C80,""),"")</f>
        <v/>
      </c>
      <c r="U80" s="34">
        <f>IF(AND(U$5&gt;$E80,U$5&lt;=$F80),IF(U$5=$E80+1,$C80,""),"")</f>
        <v/>
      </c>
      <c r="V80" s="34">
        <f>IF(AND(V$5&gt;$E80,V$5&lt;=$F80),IF(V$5=$E80+1,$C80,""),"")</f>
        <v/>
      </c>
      <c r="W80" s="34">
        <f>IF(AND(W$5&gt;$E80,W$5&lt;=$F80),IF(W$5=$E80+1,$C80,""),"")</f>
        <v/>
      </c>
      <c r="X80" s="34">
        <f>IF(AND(X$5&gt;$E80,X$5&lt;=$F80),IF(X$5=$E80+1,$C80,""),"")</f>
        <v/>
      </c>
      <c r="Y80" s="34">
        <f>IF(AND(Y$5&gt;$E80,Y$5&lt;=$F80),IF(Y$5=$E80+1,$C80,""),"")</f>
        <v/>
      </c>
      <c r="Z80" s="34">
        <f>IF(AND(Z$5&gt;$E80,Z$5&lt;=$F80),IF(Z$5=$E80+1,$C80,""),"")</f>
        <v/>
      </c>
      <c r="AA80" s="34">
        <f>IF(AND(AA$5&gt;$E80,AA$5&lt;=$F80),IF(AA$5=$E80+1,$C80,""),"")</f>
        <v/>
      </c>
      <c r="AB80" s="34">
        <f>IF(AND(AB$5&gt;$E80,AB$5&lt;=$F80),IF(AB$5=$E80+1,$C80,""),"")</f>
        <v/>
      </c>
      <c r="AC80" s="34">
        <f>IF(AND(AC$5&gt;$E80,AC$5&lt;=$F80),IF(AC$5=$E80+1,$C80,""),"")</f>
        <v/>
      </c>
      <c r="AD80" s="34">
        <f>IF(AND(AD$5&gt;$E80,AD$5&lt;=$F80),IF(AD$5=$E80+1,$C80,""),"")</f>
        <v/>
      </c>
      <c r="AE80" s="34">
        <f>IF(AND(AE$5&gt;$E80,AE$5&lt;=$F80),IF(AE$5=$E80+1,$C80,""),"")</f>
        <v/>
      </c>
      <c r="AF80" s="34">
        <f>IF(AND(AF$5&gt;$E80,AF$5&lt;=$F80),IF(AF$5=$E80+1,$C80,""),"")</f>
        <v/>
      </c>
      <c r="AG80" s="34">
        <f>IF(AND(AG$5&gt;$E80,AG$5&lt;=$F80),IF(AG$5=$E80+1,$C80,""),"")</f>
        <v/>
      </c>
      <c r="AH80" s="34">
        <f>IF(AND(AH$5&gt;$E80,AH$5&lt;=$F80),IF(AH$5=$E80+1,$C80,""),"")</f>
        <v/>
      </c>
      <c r="AI80" s="34">
        <f>IF(AND(AI$5&gt;$E80,AI$5&lt;=$F80),IF(AI$5=$E80+1,$C80,""),"")</f>
        <v/>
      </c>
      <c r="AJ80" s="34">
        <f>IF(AND(AJ$5&gt;$E80,AJ$5&lt;=$F80),IF(AJ$5=$E80+1,$C80,""),"")</f>
        <v/>
      </c>
      <c r="AK80" s="34">
        <f>IF(AND(AK$5&gt;$E80,AK$5&lt;=$F80),IF(AK$5=$E80+1,$C80,""),"")</f>
        <v/>
      </c>
      <c r="AL80" s="34">
        <f>IF(AND(AL$5&gt;$E80,AL$5&lt;=$F80),IF(AL$5=$E80+1,$C80,""),"")</f>
        <v/>
      </c>
      <c r="AM80" s="34">
        <f>IF(AND(AM$5&gt;$E80,AM$5&lt;=$F80),IF(AM$5=$E80+1,$C80,""),"")</f>
        <v/>
      </c>
      <c r="AN80" s="34">
        <f>IF(AND(AN$5&gt;$E80,AN$5&lt;=$F80),IF(AN$5=$E80+1,$C80,""),"")</f>
        <v/>
      </c>
      <c r="AO80" s="34">
        <f>IF(AND(AO$5&gt;$E80,AO$5&lt;=$F80),IF(AO$5=$E80+1,$C80,""),"")</f>
        <v/>
      </c>
      <c r="AP80" s="34">
        <f>IF(AND(AP$5&gt;$E80,AP$5&lt;=$F80),IF(AP$5=$E80+1,$C80,""),"")</f>
        <v/>
      </c>
      <c r="AQ80" s="34">
        <f>IF(AND(AQ$5&gt;$E80,AQ$5&lt;=$F80),IF(AQ$5=$E80+1,$C80,""),"")</f>
        <v/>
      </c>
      <c r="AR80" s="34">
        <f>IF(AND(AR$5&gt;$E80,AR$5&lt;=$F80),IF(AR$5=$E80+1,$C80,""),"")</f>
        <v/>
      </c>
      <c r="AS80" s="34">
        <f>IF(AND(AS$5&gt;$E80,AS$5&lt;=$F80),IF(AS$5=$E80+1,$C80,""),"")</f>
        <v/>
      </c>
      <c r="AT80" s="34">
        <f>IF(AND(AT$5&gt;$E80,AT$5&lt;=$F80),IF(AT$5=$E80+1,$C80,""),"")</f>
        <v/>
      </c>
      <c r="AU80" s="34">
        <f>IF(AND(AU$5&gt;$E80,AU$5&lt;=$F80),IF(AU$5=$E80+1,$C80,""),"")</f>
        <v/>
      </c>
      <c r="AV80" s="34">
        <f>IF(AND(AV$5&gt;$E80,AV$5&lt;=$F80),IF(AV$5=$E80+1,$C80,""),"")</f>
        <v/>
      </c>
      <c r="AW80" s="34">
        <f>IF(AND(AW$5&gt;$E80,AW$5&lt;=$F80),IF(AW$5=$E80+1,$C80,""),"")</f>
        <v/>
      </c>
      <c r="AX80" s="34">
        <f>IF(AND(AX$5&gt;$E80,AX$5&lt;=$F80),IF(AX$5=$E80+1,$C80,""),"")</f>
        <v/>
      </c>
      <c r="AY80" s="34">
        <f>IF(AND(AY$5&gt;$E80,AY$5&lt;=$F80),IF(AY$5=$E80+1,$C80,""),"")</f>
        <v/>
      </c>
      <c r="AZ80" s="34">
        <f>IF(AND(AZ$5&gt;$E80,AZ$5&lt;=$F80),IF(AZ$5=$E80+1,$C80,""),"")</f>
        <v/>
      </c>
      <c r="BA80" s="34">
        <f>IF(AND(BA$5&gt;$E80,BA$5&lt;=$F80),IF(BA$5=$E80+1,$C80,""),"")</f>
        <v/>
      </c>
      <c r="BB80" s="34">
        <f>IF(AND(BB$5&gt;$E80,BB$5&lt;=$F80),IF(BB$5=$E80+1,$C80,""),"")</f>
        <v/>
      </c>
      <c r="BC80" s="34">
        <f>IF(AND(BC$5&gt;$E80,BC$5&lt;=$F80),IF(BC$5=$E80+1,$C80,""),"")</f>
        <v/>
      </c>
      <c r="BD80" s="34">
        <f>IF(AND(BD$5&gt;$E80,BD$5&lt;=$F80),IF(BD$5=$E80+1,$C80,""),"")</f>
        <v/>
      </c>
      <c r="BE80" s="34">
        <f>IF(AND(BE$5&gt;$E80,BE$5&lt;=$F80),IF(BE$5=$E80+1,$C80,""),"")</f>
        <v/>
      </c>
      <c r="BF80" s="34">
        <f>IF(AND(BF$5&gt;$E80,BF$5&lt;=$F80),IF(BF$5=$E80+1,$C80,""),"")</f>
        <v/>
      </c>
      <c r="BG80" s="34">
        <f>IF(AND(BG$5&gt;$E80,BG$5&lt;=$F80),IF(BG$5=$E80+1,$C80,""),"")</f>
        <v/>
      </c>
      <c r="BH80" s="34">
        <f>IF(AND(BH$5&gt;$E80,BH$5&lt;=$F80),IF(BH$5=$E80+1,$C80,""),"")</f>
        <v/>
      </c>
      <c r="BI80" s="34">
        <f>IF(AND(BI$5&gt;$E80,BI$5&lt;=$F80),IF(BI$5=$E80+1,$C80,""),"")</f>
        <v/>
      </c>
      <c r="BJ80" s="34">
        <f>IF(AND(BJ$5&gt;$E80,BJ$5&lt;=$F80),IF(BJ$5=$E80+1,$C80,""),"")</f>
        <v/>
      </c>
      <c r="BK80" s="34">
        <f>IF(AND(BK$5&gt;$E80,BK$5&lt;=$F80),IF(BK$5=$E80+1,$C80,""),"")</f>
        <v/>
      </c>
      <c r="BL80" s="34">
        <f>IF(AND(BL$5&gt;$E80,BL$5&lt;=$F80),IF(BL$5=$E80+1,$C80,""),"")</f>
        <v/>
      </c>
      <c r="BM80" s="34">
        <f>IF(AND(BM$5&gt;$E80,BM$5&lt;=$F80),IF(BM$5=$E80+1,$C80,""),"")</f>
        <v/>
      </c>
      <c r="BN80" s="34">
        <f>IF(AND(BN$5&gt;$E80,BN$5&lt;=$F80),IF(BN$5=$E80+1,$C80,""),"")</f>
        <v/>
      </c>
      <c r="BO80" s="34">
        <f>IF(AND(BO$5&gt;$E80,BO$5&lt;=$F80),IF(BO$5=$E80+1,$C80,""),"")</f>
        <v/>
      </c>
      <c r="BP80" s="34">
        <f>IF(AND(BP$5&gt;$E80,BP$5&lt;=$F80),IF(BP$5=$E80+1,$C80,""),"")</f>
        <v/>
      </c>
      <c r="BQ80" s="34">
        <f>IF(AND(BQ$5&gt;$E80,BQ$5&lt;=$F80),IF(BQ$5=$E80+1,$C80,""),"")</f>
        <v/>
      </c>
      <c r="BR80" s="34">
        <f>IF(AND(BR$5&gt;$E80,BR$5&lt;=$F80),IF(BR$5=$E80+1,$C80,""),"")</f>
        <v/>
      </c>
      <c r="BS80" s="34">
        <f>IF(AND(BS$5&gt;$E80,BS$5&lt;=$F80),IF(BS$5=$E80+1,$C80,""),"")</f>
        <v/>
      </c>
      <c r="BT80" s="34">
        <f>IF(AND(BT$5&gt;$E80,BT$5&lt;=$F80),IF(BT$5=$E80+1,$C80,""),"")</f>
        <v/>
      </c>
      <c r="BU80" s="34">
        <f>IF(AND(BU$5&gt;$E80,BU$5&lt;=$F80),IF(BU$5=$E80+1,$C80,""),"")</f>
        <v/>
      </c>
      <c r="BV80" s="34">
        <f>IF(AND(BV$5&gt;$E80,BV$5&lt;=$F80),IF(BV$5=$E80+1,$C80,""),"")</f>
        <v/>
      </c>
      <c r="BW80" s="34">
        <f>IF(AND(BW$5&gt;$E80,BW$5&lt;=$F80),IF(BW$5=$E80+1,$C80,""),"")</f>
        <v/>
      </c>
      <c r="BX80" s="34">
        <f>IF(AND(BX$5&gt;$E80,BX$5&lt;=$F80),IF(BX$5=$E80+1,$C80,""),"")</f>
        <v/>
      </c>
      <c r="BY80" s="34">
        <f>IF(AND(BY$5&gt;$E80,BY$5&lt;=$F80),IF(BY$5=$E80+1,$C80,""),"")</f>
        <v/>
      </c>
      <c r="BZ80" s="34">
        <f>IF(AND(BZ$5&gt;$E80,BZ$5&lt;=$F80),IF(BZ$5=$E80+1,$C80,""),"")</f>
        <v/>
      </c>
      <c r="CA80" s="34">
        <f>IF(AND(CA$5&gt;$E80,CA$5&lt;=$F80),IF(CA$5=$E80+1,$C80,""),"")</f>
        <v/>
      </c>
      <c r="CB80" s="34">
        <f>IF(AND(CB$5&gt;$E80,CB$5&lt;=$F80),IF(CB$5=$E80+1,$C80,""),"")</f>
        <v/>
      </c>
      <c r="CC80" s="34">
        <f>IF(AND(CC$5&gt;$E80,CC$5&lt;=$F80),IF(CC$5=$E80+1,$C80,""),"")</f>
        <v/>
      </c>
      <c r="CD80" s="34">
        <f>IF(AND(CD$5&gt;$E80,CD$5&lt;=$F80),IF(CD$5=$E80+1,$C80,""),"")</f>
        <v/>
      </c>
      <c r="CE80" s="34">
        <f>IF(AND(CE$5&gt;$E80,CE$5&lt;=$F80),IF(CE$5=$E80+1,$C80,""),"")</f>
        <v/>
      </c>
      <c r="CF80" s="34">
        <f>IF(AND(CF$5&gt;$E80,CF$5&lt;=$F80),IF(CF$5=$E80+1,$C80,""),"")</f>
        <v/>
      </c>
      <c r="CG80" s="34">
        <f>IF(AND(CG$5&gt;$E80,CG$5&lt;=$F80),IF(CG$5=$E80+1,$C80,""),"")</f>
        <v/>
      </c>
      <c r="CH80" s="34">
        <f>IF(AND(CH$5&gt;$E80,CH$5&lt;=$F80),IF(CH$5=$E80+1,$C80,""),"")</f>
        <v/>
      </c>
      <c r="CI80" s="34">
        <f>IF(AND(CI$5&gt;$E80,CI$5&lt;=$F80),IF(CI$5=$E80+1,$C80,""),"")</f>
        <v/>
      </c>
      <c r="CJ80" s="34">
        <f>IF(AND(CJ$5&gt;$E80,CJ$5&lt;=$F80),IF(CJ$5=$E80+1,$C80,""),"")</f>
        <v/>
      </c>
      <c r="CK80" s="34">
        <f>IF(AND(CK$5&gt;$E80,CK$5&lt;=$F80),IF(CK$5=$E80+1,$C80,""),"")</f>
        <v/>
      </c>
      <c r="CL80" s="34">
        <f>IF(AND(CL$5&gt;$E80,CL$5&lt;=$F80),IF(CL$5=$E80+1,$C80,""),"")</f>
        <v/>
      </c>
      <c r="CM80" s="34">
        <f>IF(AND(CM$5&gt;$E80,CM$5&lt;=$F80),IF(CM$5=$E80+1,$C80,""),"")</f>
        <v/>
      </c>
      <c r="CN80" s="34">
        <f>IF(AND(CN$5&gt;$E80,CN$5&lt;=$F80),IF(CN$5=$E80+1,$C80,""),"")</f>
        <v/>
      </c>
      <c r="CO80" s="34">
        <f>IF(AND(CO$5&gt;$E80,CO$5&lt;=$F80),IF(CO$5=$E80+1,$C80,""),"")</f>
        <v/>
      </c>
      <c r="CP80" s="34">
        <f>IF(AND(CP$5&gt;$E80,CP$5&lt;=$F80),IF(CP$5=$E80+1,$C80,""),"")</f>
        <v/>
      </c>
      <c r="CQ80" s="34">
        <f>IF(AND(CQ$5&gt;$E80,CQ$5&lt;=$F80),IF(CQ$5=$E80+1,$C80,""),"")</f>
        <v/>
      </c>
      <c r="CR80" s="34">
        <f>IF(AND(CR$5&gt;$E80,CR$5&lt;=$F80),IF(CR$5=$E80+1,$C80,""),"")</f>
        <v/>
      </c>
      <c r="CS80" s="34">
        <f>IF(AND(CS$5&gt;$E80,CS$5&lt;=$F80),IF(CS$5=$E80+1,$C80,""),"")</f>
        <v/>
      </c>
    </row>
    <row r="81">
      <c r="A81" s="32">
        <f>Plan!A71</f>
        <v/>
      </c>
      <c r="B81" s="33">
        <f>Plan!C71</f>
        <v/>
      </c>
      <c r="C81" s="16">
        <f>Plan!D71</f>
        <v/>
      </c>
      <c r="D81" s="16">
        <f>Plan!I71</f>
        <v/>
      </c>
      <c r="E81" s="16">
        <f>Plan!K71</f>
        <v/>
      </c>
      <c r="F81" s="16">
        <f>Plan!L71</f>
        <v/>
      </c>
      <c r="G81" s="16">
        <f>Plan!O71</f>
        <v/>
      </c>
      <c r="H81" s="34">
        <f>IF(AND(H$5&gt;$E81,H$5&lt;=$F81),IF(H$5=$E81+1,$C81,""),"")</f>
        <v/>
      </c>
      <c r="I81" s="34">
        <f>IF(AND(I$5&gt;$E81,I$5&lt;=$F81),IF(I$5=$E81+1,$C81,""),"")</f>
        <v/>
      </c>
      <c r="J81" s="34">
        <f>IF(AND(J$5&gt;$E81,J$5&lt;=$F81),IF(J$5=$E81+1,$C81,""),"")</f>
        <v/>
      </c>
      <c r="K81" s="34">
        <f>IF(AND(K$5&gt;$E81,K$5&lt;=$F81),IF(K$5=$E81+1,$C81,""),"")</f>
        <v/>
      </c>
      <c r="L81" s="34">
        <f>IF(AND(L$5&gt;$E81,L$5&lt;=$F81),IF(L$5=$E81+1,$C81,""),"")</f>
        <v/>
      </c>
      <c r="M81" s="34">
        <f>IF(AND(M$5&gt;$E81,M$5&lt;=$F81),IF(M$5=$E81+1,$C81,""),"")</f>
        <v/>
      </c>
      <c r="N81" s="34">
        <f>IF(AND(N$5&gt;$E81,N$5&lt;=$F81),IF(N$5=$E81+1,$C81,""),"")</f>
        <v/>
      </c>
      <c r="O81" s="34">
        <f>IF(AND(O$5&gt;$E81,O$5&lt;=$F81),IF(O$5=$E81+1,$C81,""),"")</f>
        <v/>
      </c>
      <c r="P81" s="34">
        <f>IF(AND(P$5&gt;$E81,P$5&lt;=$F81),IF(P$5=$E81+1,$C81,""),"")</f>
        <v/>
      </c>
      <c r="Q81" s="34">
        <f>IF(AND(Q$5&gt;$E81,Q$5&lt;=$F81),IF(Q$5=$E81+1,$C81,""),"")</f>
        <v/>
      </c>
      <c r="R81" s="34">
        <f>IF(AND(R$5&gt;$E81,R$5&lt;=$F81),IF(R$5=$E81+1,$C81,""),"")</f>
        <v/>
      </c>
      <c r="S81" s="34">
        <f>IF(AND(S$5&gt;$E81,S$5&lt;=$F81),IF(S$5=$E81+1,$C81,""),"")</f>
        <v/>
      </c>
      <c r="T81" s="34">
        <f>IF(AND(T$5&gt;$E81,T$5&lt;=$F81),IF(T$5=$E81+1,$C81,""),"")</f>
        <v/>
      </c>
      <c r="U81" s="34">
        <f>IF(AND(U$5&gt;$E81,U$5&lt;=$F81),IF(U$5=$E81+1,$C81,""),"")</f>
        <v/>
      </c>
      <c r="V81" s="34">
        <f>IF(AND(V$5&gt;$E81,V$5&lt;=$F81),IF(V$5=$E81+1,$C81,""),"")</f>
        <v/>
      </c>
      <c r="W81" s="34">
        <f>IF(AND(W$5&gt;$E81,W$5&lt;=$F81),IF(W$5=$E81+1,$C81,""),"")</f>
        <v/>
      </c>
      <c r="X81" s="34">
        <f>IF(AND(X$5&gt;$E81,X$5&lt;=$F81),IF(X$5=$E81+1,$C81,""),"")</f>
        <v/>
      </c>
      <c r="Y81" s="34">
        <f>IF(AND(Y$5&gt;$E81,Y$5&lt;=$F81),IF(Y$5=$E81+1,$C81,""),"")</f>
        <v/>
      </c>
      <c r="Z81" s="34">
        <f>IF(AND(Z$5&gt;$E81,Z$5&lt;=$F81),IF(Z$5=$E81+1,$C81,""),"")</f>
        <v/>
      </c>
      <c r="AA81" s="34">
        <f>IF(AND(AA$5&gt;$E81,AA$5&lt;=$F81),IF(AA$5=$E81+1,$C81,""),"")</f>
        <v/>
      </c>
      <c r="AB81" s="34">
        <f>IF(AND(AB$5&gt;$E81,AB$5&lt;=$F81),IF(AB$5=$E81+1,$C81,""),"")</f>
        <v/>
      </c>
      <c r="AC81" s="34">
        <f>IF(AND(AC$5&gt;$E81,AC$5&lt;=$F81),IF(AC$5=$E81+1,$C81,""),"")</f>
        <v/>
      </c>
      <c r="AD81" s="34">
        <f>IF(AND(AD$5&gt;$E81,AD$5&lt;=$F81),IF(AD$5=$E81+1,$C81,""),"")</f>
        <v/>
      </c>
      <c r="AE81" s="34">
        <f>IF(AND(AE$5&gt;$E81,AE$5&lt;=$F81),IF(AE$5=$E81+1,$C81,""),"")</f>
        <v/>
      </c>
      <c r="AF81" s="34">
        <f>IF(AND(AF$5&gt;$E81,AF$5&lt;=$F81),IF(AF$5=$E81+1,$C81,""),"")</f>
        <v/>
      </c>
      <c r="AG81" s="34">
        <f>IF(AND(AG$5&gt;$E81,AG$5&lt;=$F81),IF(AG$5=$E81+1,$C81,""),"")</f>
        <v/>
      </c>
      <c r="AH81" s="34">
        <f>IF(AND(AH$5&gt;$E81,AH$5&lt;=$F81),IF(AH$5=$E81+1,$C81,""),"")</f>
        <v/>
      </c>
      <c r="AI81" s="34">
        <f>IF(AND(AI$5&gt;$E81,AI$5&lt;=$F81),IF(AI$5=$E81+1,$C81,""),"")</f>
        <v/>
      </c>
      <c r="AJ81" s="34">
        <f>IF(AND(AJ$5&gt;$E81,AJ$5&lt;=$F81),IF(AJ$5=$E81+1,$C81,""),"")</f>
        <v/>
      </c>
      <c r="AK81" s="34">
        <f>IF(AND(AK$5&gt;$E81,AK$5&lt;=$F81),IF(AK$5=$E81+1,$C81,""),"")</f>
        <v/>
      </c>
      <c r="AL81" s="34">
        <f>IF(AND(AL$5&gt;$E81,AL$5&lt;=$F81),IF(AL$5=$E81+1,$C81,""),"")</f>
        <v/>
      </c>
      <c r="AM81" s="34">
        <f>IF(AND(AM$5&gt;$E81,AM$5&lt;=$F81),IF(AM$5=$E81+1,$C81,""),"")</f>
        <v/>
      </c>
      <c r="AN81" s="34">
        <f>IF(AND(AN$5&gt;$E81,AN$5&lt;=$F81),IF(AN$5=$E81+1,$C81,""),"")</f>
        <v/>
      </c>
      <c r="AO81" s="34">
        <f>IF(AND(AO$5&gt;$E81,AO$5&lt;=$F81),IF(AO$5=$E81+1,$C81,""),"")</f>
        <v/>
      </c>
      <c r="AP81" s="34">
        <f>IF(AND(AP$5&gt;$E81,AP$5&lt;=$F81),IF(AP$5=$E81+1,$C81,""),"")</f>
        <v/>
      </c>
      <c r="AQ81" s="34">
        <f>IF(AND(AQ$5&gt;$E81,AQ$5&lt;=$F81),IF(AQ$5=$E81+1,$C81,""),"")</f>
        <v/>
      </c>
      <c r="AR81" s="34">
        <f>IF(AND(AR$5&gt;$E81,AR$5&lt;=$F81),IF(AR$5=$E81+1,$C81,""),"")</f>
        <v/>
      </c>
      <c r="AS81" s="34">
        <f>IF(AND(AS$5&gt;$E81,AS$5&lt;=$F81),IF(AS$5=$E81+1,$C81,""),"")</f>
        <v/>
      </c>
      <c r="AT81" s="34">
        <f>IF(AND(AT$5&gt;$E81,AT$5&lt;=$F81),IF(AT$5=$E81+1,$C81,""),"")</f>
        <v/>
      </c>
      <c r="AU81" s="34">
        <f>IF(AND(AU$5&gt;$E81,AU$5&lt;=$F81),IF(AU$5=$E81+1,$C81,""),"")</f>
        <v/>
      </c>
      <c r="AV81" s="34">
        <f>IF(AND(AV$5&gt;$E81,AV$5&lt;=$F81),IF(AV$5=$E81+1,$C81,""),"")</f>
        <v/>
      </c>
      <c r="AW81" s="34">
        <f>IF(AND(AW$5&gt;$E81,AW$5&lt;=$F81),IF(AW$5=$E81+1,$C81,""),"")</f>
        <v/>
      </c>
      <c r="AX81" s="34">
        <f>IF(AND(AX$5&gt;$E81,AX$5&lt;=$F81),IF(AX$5=$E81+1,$C81,""),"")</f>
        <v/>
      </c>
      <c r="AY81" s="34">
        <f>IF(AND(AY$5&gt;$E81,AY$5&lt;=$F81),IF(AY$5=$E81+1,$C81,""),"")</f>
        <v/>
      </c>
      <c r="AZ81" s="34">
        <f>IF(AND(AZ$5&gt;$E81,AZ$5&lt;=$F81),IF(AZ$5=$E81+1,$C81,""),"")</f>
        <v/>
      </c>
      <c r="BA81" s="34">
        <f>IF(AND(BA$5&gt;$E81,BA$5&lt;=$F81),IF(BA$5=$E81+1,$C81,""),"")</f>
        <v/>
      </c>
      <c r="BB81" s="34">
        <f>IF(AND(BB$5&gt;$E81,BB$5&lt;=$F81),IF(BB$5=$E81+1,$C81,""),"")</f>
        <v/>
      </c>
      <c r="BC81" s="34">
        <f>IF(AND(BC$5&gt;$E81,BC$5&lt;=$F81),IF(BC$5=$E81+1,$C81,""),"")</f>
        <v/>
      </c>
      <c r="BD81" s="34">
        <f>IF(AND(BD$5&gt;$E81,BD$5&lt;=$F81),IF(BD$5=$E81+1,$C81,""),"")</f>
        <v/>
      </c>
      <c r="BE81" s="34">
        <f>IF(AND(BE$5&gt;$E81,BE$5&lt;=$F81),IF(BE$5=$E81+1,$C81,""),"")</f>
        <v/>
      </c>
      <c r="BF81" s="34">
        <f>IF(AND(BF$5&gt;$E81,BF$5&lt;=$F81),IF(BF$5=$E81+1,$C81,""),"")</f>
        <v/>
      </c>
      <c r="BG81" s="34">
        <f>IF(AND(BG$5&gt;$E81,BG$5&lt;=$F81),IF(BG$5=$E81+1,$C81,""),"")</f>
        <v/>
      </c>
      <c r="BH81" s="34">
        <f>IF(AND(BH$5&gt;$E81,BH$5&lt;=$F81),IF(BH$5=$E81+1,$C81,""),"")</f>
        <v/>
      </c>
      <c r="BI81" s="34">
        <f>IF(AND(BI$5&gt;$E81,BI$5&lt;=$F81),IF(BI$5=$E81+1,$C81,""),"")</f>
        <v/>
      </c>
      <c r="BJ81" s="34">
        <f>IF(AND(BJ$5&gt;$E81,BJ$5&lt;=$F81),IF(BJ$5=$E81+1,$C81,""),"")</f>
        <v/>
      </c>
      <c r="BK81" s="34">
        <f>IF(AND(BK$5&gt;$E81,BK$5&lt;=$F81),IF(BK$5=$E81+1,$C81,""),"")</f>
        <v/>
      </c>
      <c r="BL81" s="34">
        <f>IF(AND(BL$5&gt;$E81,BL$5&lt;=$F81),IF(BL$5=$E81+1,$C81,""),"")</f>
        <v/>
      </c>
      <c r="BM81" s="34">
        <f>IF(AND(BM$5&gt;$E81,BM$5&lt;=$F81),IF(BM$5=$E81+1,$C81,""),"")</f>
        <v/>
      </c>
      <c r="BN81" s="34">
        <f>IF(AND(BN$5&gt;$E81,BN$5&lt;=$F81),IF(BN$5=$E81+1,$C81,""),"")</f>
        <v/>
      </c>
      <c r="BO81" s="34">
        <f>IF(AND(BO$5&gt;$E81,BO$5&lt;=$F81),IF(BO$5=$E81+1,$C81,""),"")</f>
        <v/>
      </c>
      <c r="BP81" s="34">
        <f>IF(AND(BP$5&gt;$E81,BP$5&lt;=$F81),IF(BP$5=$E81+1,$C81,""),"")</f>
        <v/>
      </c>
      <c r="BQ81" s="34">
        <f>IF(AND(BQ$5&gt;$E81,BQ$5&lt;=$F81),IF(BQ$5=$E81+1,$C81,""),"")</f>
        <v/>
      </c>
      <c r="BR81" s="34">
        <f>IF(AND(BR$5&gt;$E81,BR$5&lt;=$F81),IF(BR$5=$E81+1,$C81,""),"")</f>
        <v/>
      </c>
      <c r="BS81" s="34">
        <f>IF(AND(BS$5&gt;$E81,BS$5&lt;=$F81),IF(BS$5=$E81+1,$C81,""),"")</f>
        <v/>
      </c>
      <c r="BT81" s="34">
        <f>IF(AND(BT$5&gt;$E81,BT$5&lt;=$F81),IF(BT$5=$E81+1,$C81,""),"")</f>
        <v/>
      </c>
      <c r="BU81" s="34">
        <f>IF(AND(BU$5&gt;$E81,BU$5&lt;=$F81),IF(BU$5=$E81+1,$C81,""),"")</f>
        <v/>
      </c>
      <c r="BV81" s="34">
        <f>IF(AND(BV$5&gt;$E81,BV$5&lt;=$F81),IF(BV$5=$E81+1,$C81,""),"")</f>
        <v/>
      </c>
      <c r="BW81" s="34">
        <f>IF(AND(BW$5&gt;$E81,BW$5&lt;=$F81),IF(BW$5=$E81+1,$C81,""),"")</f>
        <v/>
      </c>
      <c r="BX81" s="34">
        <f>IF(AND(BX$5&gt;$E81,BX$5&lt;=$F81),IF(BX$5=$E81+1,$C81,""),"")</f>
        <v/>
      </c>
      <c r="BY81" s="34">
        <f>IF(AND(BY$5&gt;$E81,BY$5&lt;=$F81),IF(BY$5=$E81+1,$C81,""),"")</f>
        <v/>
      </c>
      <c r="BZ81" s="34">
        <f>IF(AND(BZ$5&gt;$E81,BZ$5&lt;=$F81),IF(BZ$5=$E81+1,$C81,""),"")</f>
        <v/>
      </c>
      <c r="CA81" s="34">
        <f>IF(AND(CA$5&gt;$E81,CA$5&lt;=$F81),IF(CA$5=$E81+1,$C81,""),"")</f>
        <v/>
      </c>
      <c r="CB81" s="34">
        <f>IF(AND(CB$5&gt;$E81,CB$5&lt;=$F81),IF(CB$5=$E81+1,$C81,""),"")</f>
        <v/>
      </c>
      <c r="CC81" s="34">
        <f>IF(AND(CC$5&gt;$E81,CC$5&lt;=$F81),IF(CC$5=$E81+1,$C81,""),"")</f>
        <v/>
      </c>
      <c r="CD81" s="34">
        <f>IF(AND(CD$5&gt;$E81,CD$5&lt;=$F81),IF(CD$5=$E81+1,$C81,""),"")</f>
        <v/>
      </c>
      <c r="CE81" s="34">
        <f>IF(AND(CE$5&gt;$E81,CE$5&lt;=$F81),IF(CE$5=$E81+1,$C81,""),"")</f>
        <v/>
      </c>
      <c r="CF81" s="34">
        <f>IF(AND(CF$5&gt;$E81,CF$5&lt;=$F81),IF(CF$5=$E81+1,$C81,""),"")</f>
        <v/>
      </c>
      <c r="CG81" s="34">
        <f>IF(AND(CG$5&gt;$E81,CG$5&lt;=$F81),IF(CG$5=$E81+1,$C81,""),"")</f>
        <v/>
      </c>
      <c r="CH81" s="34">
        <f>IF(AND(CH$5&gt;$E81,CH$5&lt;=$F81),IF(CH$5=$E81+1,$C81,""),"")</f>
        <v/>
      </c>
      <c r="CI81" s="34">
        <f>IF(AND(CI$5&gt;$E81,CI$5&lt;=$F81),IF(CI$5=$E81+1,$C81,""),"")</f>
        <v/>
      </c>
      <c r="CJ81" s="34">
        <f>IF(AND(CJ$5&gt;$E81,CJ$5&lt;=$F81),IF(CJ$5=$E81+1,$C81,""),"")</f>
        <v/>
      </c>
      <c r="CK81" s="34">
        <f>IF(AND(CK$5&gt;$E81,CK$5&lt;=$F81),IF(CK$5=$E81+1,$C81,""),"")</f>
        <v/>
      </c>
      <c r="CL81" s="34">
        <f>IF(AND(CL$5&gt;$E81,CL$5&lt;=$F81),IF(CL$5=$E81+1,$C81,""),"")</f>
        <v/>
      </c>
      <c r="CM81" s="34">
        <f>IF(AND(CM$5&gt;$E81,CM$5&lt;=$F81),IF(CM$5=$E81+1,$C81,""),"")</f>
        <v/>
      </c>
      <c r="CN81" s="34">
        <f>IF(AND(CN$5&gt;$E81,CN$5&lt;=$F81),IF(CN$5=$E81+1,$C81,""),"")</f>
        <v/>
      </c>
      <c r="CO81" s="34">
        <f>IF(AND(CO$5&gt;$E81,CO$5&lt;=$F81),IF(CO$5=$E81+1,$C81,""),"")</f>
        <v/>
      </c>
      <c r="CP81" s="34">
        <f>IF(AND(CP$5&gt;$E81,CP$5&lt;=$F81),IF(CP$5=$E81+1,$C81,""),"")</f>
        <v/>
      </c>
      <c r="CQ81" s="34">
        <f>IF(AND(CQ$5&gt;$E81,CQ$5&lt;=$F81),IF(CQ$5=$E81+1,$C81,""),"")</f>
        <v/>
      </c>
      <c r="CR81" s="34">
        <f>IF(AND(CR$5&gt;$E81,CR$5&lt;=$F81),IF(CR$5=$E81+1,$C81,""),"")</f>
        <v/>
      </c>
      <c r="CS81" s="34">
        <f>IF(AND(CS$5&gt;$E81,CS$5&lt;=$F81),IF(CS$5=$E81+1,$C81,""),"")</f>
        <v/>
      </c>
    </row>
    <row r="82">
      <c r="A82" s="32">
        <f>Plan!A72</f>
        <v/>
      </c>
      <c r="B82" s="33">
        <f>Plan!C72</f>
        <v/>
      </c>
      <c r="C82" s="16">
        <f>Plan!D72</f>
        <v/>
      </c>
      <c r="D82" s="16">
        <f>Plan!I72</f>
        <v/>
      </c>
      <c r="E82" s="16">
        <f>Plan!K72</f>
        <v/>
      </c>
      <c r="F82" s="16">
        <f>Plan!L72</f>
        <v/>
      </c>
      <c r="G82" s="16">
        <f>Plan!O72</f>
        <v/>
      </c>
      <c r="H82" s="34">
        <f>IF(AND(H$5&gt;$E82,H$5&lt;=$F82),IF(H$5=$E82+1,$C82,""),"")</f>
        <v/>
      </c>
      <c r="I82" s="34">
        <f>IF(AND(I$5&gt;$E82,I$5&lt;=$F82),IF(I$5=$E82+1,$C82,""),"")</f>
        <v/>
      </c>
      <c r="J82" s="34">
        <f>IF(AND(J$5&gt;$E82,J$5&lt;=$F82),IF(J$5=$E82+1,$C82,""),"")</f>
        <v/>
      </c>
      <c r="K82" s="34">
        <f>IF(AND(K$5&gt;$E82,K$5&lt;=$F82),IF(K$5=$E82+1,$C82,""),"")</f>
        <v/>
      </c>
      <c r="L82" s="34">
        <f>IF(AND(L$5&gt;$E82,L$5&lt;=$F82),IF(L$5=$E82+1,$C82,""),"")</f>
        <v/>
      </c>
      <c r="M82" s="34">
        <f>IF(AND(M$5&gt;$E82,M$5&lt;=$F82),IF(M$5=$E82+1,$C82,""),"")</f>
        <v/>
      </c>
      <c r="N82" s="34">
        <f>IF(AND(N$5&gt;$E82,N$5&lt;=$F82),IF(N$5=$E82+1,$C82,""),"")</f>
        <v/>
      </c>
      <c r="O82" s="34">
        <f>IF(AND(O$5&gt;$E82,O$5&lt;=$F82),IF(O$5=$E82+1,$C82,""),"")</f>
        <v/>
      </c>
      <c r="P82" s="34">
        <f>IF(AND(P$5&gt;$E82,P$5&lt;=$F82),IF(P$5=$E82+1,$C82,""),"")</f>
        <v/>
      </c>
      <c r="Q82" s="34">
        <f>IF(AND(Q$5&gt;$E82,Q$5&lt;=$F82),IF(Q$5=$E82+1,$C82,""),"")</f>
        <v/>
      </c>
      <c r="R82" s="34">
        <f>IF(AND(R$5&gt;$E82,R$5&lt;=$F82),IF(R$5=$E82+1,$C82,""),"")</f>
        <v/>
      </c>
      <c r="S82" s="34">
        <f>IF(AND(S$5&gt;$E82,S$5&lt;=$F82),IF(S$5=$E82+1,$C82,""),"")</f>
        <v/>
      </c>
      <c r="T82" s="34">
        <f>IF(AND(T$5&gt;$E82,T$5&lt;=$F82),IF(T$5=$E82+1,$C82,""),"")</f>
        <v/>
      </c>
      <c r="U82" s="34">
        <f>IF(AND(U$5&gt;$E82,U$5&lt;=$F82),IF(U$5=$E82+1,$C82,""),"")</f>
        <v/>
      </c>
      <c r="V82" s="34">
        <f>IF(AND(V$5&gt;$E82,V$5&lt;=$F82),IF(V$5=$E82+1,$C82,""),"")</f>
        <v/>
      </c>
      <c r="W82" s="34">
        <f>IF(AND(W$5&gt;$E82,W$5&lt;=$F82),IF(W$5=$E82+1,$C82,""),"")</f>
        <v/>
      </c>
      <c r="X82" s="34">
        <f>IF(AND(X$5&gt;$E82,X$5&lt;=$F82),IF(X$5=$E82+1,$C82,""),"")</f>
        <v/>
      </c>
      <c r="Y82" s="34">
        <f>IF(AND(Y$5&gt;$E82,Y$5&lt;=$F82),IF(Y$5=$E82+1,$C82,""),"")</f>
        <v/>
      </c>
      <c r="Z82" s="34">
        <f>IF(AND(Z$5&gt;$E82,Z$5&lt;=$F82),IF(Z$5=$E82+1,$C82,""),"")</f>
        <v/>
      </c>
      <c r="AA82" s="34">
        <f>IF(AND(AA$5&gt;$E82,AA$5&lt;=$F82),IF(AA$5=$E82+1,$C82,""),"")</f>
        <v/>
      </c>
      <c r="AB82" s="34">
        <f>IF(AND(AB$5&gt;$E82,AB$5&lt;=$F82),IF(AB$5=$E82+1,$C82,""),"")</f>
        <v/>
      </c>
      <c r="AC82" s="34">
        <f>IF(AND(AC$5&gt;$E82,AC$5&lt;=$F82),IF(AC$5=$E82+1,$C82,""),"")</f>
        <v/>
      </c>
      <c r="AD82" s="34">
        <f>IF(AND(AD$5&gt;$E82,AD$5&lt;=$F82),IF(AD$5=$E82+1,$C82,""),"")</f>
        <v/>
      </c>
      <c r="AE82" s="34">
        <f>IF(AND(AE$5&gt;$E82,AE$5&lt;=$F82),IF(AE$5=$E82+1,$C82,""),"")</f>
        <v/>
      </c>
      <c r="AF82" s="34">
        <f>IF(AND(AF$5&gt;$E82,AF$5&lt;=$F82),IF(AF$5=$E82+1,$C82,""),"")</f>
        <v/>
      </c>
      <c r="AG82" s="34">
        <f>IF(AND(AG$5&gt;$E82,AG$5&lt;=$F82),IF(AG$5=$E82+1,$C82,""),"")</f>
        <v/>
      </c>
      <c r="AH82" s="34">
        <f>IF(AND(AH$5&gt;$E82,AH$5&lt;=$F82),IF(AH$5=$E82+1,$C82,""),"")</f>
        <v/>
      </c>
      <c r="AI82" s="34">
        <f>IF(AND(AI$5&gt;$E82,AI$5&lt;=$F82),IF(AI$5=$E82+1,$C82,""),"")</f>
        <v/>
      </c>
      <c r="AJ82" s="34">
        <f>IF(AND(AJ$5&gt;$E82,AJ$5&lt;=$F82),IF(AJ$5=$E82+1,$C82,""),"")</f>
        <v/>
      </c>
      <c r="AK82" s="34">
        <f>IF(AND(AK$5&gt;$E82,AK$5&lt;=$F82),IF(AK$5=$E82+1,$C82,""),"")</f>
        <v/>
      </c>
      <c r="AL82" s="34">
        <f>IF(AND(AL$5&gt;$E82,AL$5&lt;=$F82),IF(AL$5=$E82+1,$C82,""),"")</f>
        <v/>
      </c>
      <c r="AM82" s="34">
        <f>IF(AND(AM$5&gt;$E82,AM$5&lt;=$F82),IF(AM$5=$E82+1,$C82,""),"")</f>
        <v/>
      </c>
      <c r="AN82" s="34">
        <f>IF(AND(AN$5&gt;$E82,AN$5&lt;=$F82),IF(AN$5=$E82+1,$C82,""),"")</f>
        <v/>
      </c>
      <c r="AO82" s="34">
        <f>IF(AND(AO$5&gt;$E82,AO$5&lt;=$F82),IF(AO$5=$E82+1,$C82,""),"")</f>
        <v/>
      </c>
      <c r="AP82" s="34">
        <f>IF(AND(AP$5&gt;$E82,AP$5&lt;=$F82),IF(AP$5=$E82+1,$C82,""),"")</f>
        <v/>
      </c>
      <c r="AQ82" s="34">
        <f>IF(AND(AQ$5&gt;$E82,AQ$5&lt;=$F82),IF(AQ$5=$E82+1,$C82,""),"")</f>
        <v/>
      </c>
      <c r="AR82" s="34">
        <f>IF(AND(AR$5&gt;$E82,AR$5&lt;=$F82),IF(AR$5=$E82+1,$C82,""),"")</f>
        <v/>
      </c>
      <c r="AS82" s="34">
        <f>IF(AND(AS$5&gt;$E82,AS$5&lt;=$F82),IF(AS$5=$E82+1,$C82,""),"")</f>
        <v/>
      </c>
      <c r="AT82" s="34">
        <f>IF(AND(AT$5&gt;$E82,AT$5&lt;=$F82),IF(AT$5=$E82+1,$C82,""),"")</f>
        <v/>
      </c>
      <c r="AU82" s="34">
        <f>IF(AND(AU$5&gt;$E82,AU$5&lt;=$F82),IF(AU$5=$E82+1,$C82,""),"")</f>
        <v/>
      </c>
      <c r="AV82" s="34">
        <f>IF(AND(AV$5&gt;$E82,AV$5&lt;=$F82),IF(AV$5=$E82+1,$C82,""),"")</f>
        <v/>
      </c>
      <c r="AW82" s="34">
        <f>IF(AND(AW$5&gt;$E82,AW$5&lt;=$F82),IF(AW$5=$E82+1,$C82,""),"")</f>
        <v/>
      </c>
      <c r="AX82" s="34">
        <f>IF(AND(AX$5&gt;$E82,AX$5&lt;=$F82),IF(AX$5=$E82+1,$C82,""),"")</f>
        <v/>
      </c>
      <c r="AY82" s="34">
        <f>IF(AND(AY$5&gt;$E82,AY$5&lt;=$F82),IF(AY$5=$E82+1,$C82,""),"")</f>
        <v/>
      </c>
      <c r="AZ82" s="34">
        <f>IF(AND(AZ$5&gt;$E82,AZ$5&lt;=$F82),IF(AZ$5=$E82+1,$C82,""),"")</f>
        <v/>
      </c>
      <c r="BA82" s="34">
        <f>IF(AND(BA$5&gt;$E82,BA$5&lt;=$F82),IF(BA$5=$E82+1,$C82,""),"")</f>
        <v/>
      </c>
      <c r="BB82" s="34">
        <f>IF(AND(BB$5&gt;$E82,BB$5&lt;=$F82),IF(BB$5=$E82+1,$C82,""),"")</f>
        <v/>
      </c>
      <c r="BC82" s="34">
        <f>IF(AND(BC$5&gt;$E82,BC$5&lt;=$F82),IF(BC$5=$E82+1,$C82,""),"")</f>
        <v/>
      </c>
      <c r="BD82" s="34">
        <f>IF(AND(BD$5&gt;$E82,BD$5&lt;=$F82),IF(BD$5=$E82+1,$C82,""),"")</f>
        <v/>
      </c>
      <c r="BE82" s="34">
        <f>IF(AND(BE$5&gt;$E82,BE$5&lt;=$F82),IF(BE$5=$E82+1,$C82,""),"")</f>
        <v/>
      </c>
      <c r="BF82" s="34">
        <f>IF(AND(BF$5&gt;$E82,BF$5&lt;=$F82),IF(BF$5=$E82+1,$C82,""),"")</f>
        <v/>
      </c>
      <c r="BG82" s="34">
        <f>IF(AND(BG$5&gt;$E82,BG$5&lt;=$F82),IF(BG$5=$E82+1,$C82,""),"")</f>
        <v/>
      </c>
      <c r="BH82" s="34">
        <f>IF(AND(BH$5&gt;$E82,BH$5&lt;=$F82),IF(BH$5=$E82+1,$C82,""),"")</f>
        <v/>
      </c>
      <c r="BI82" s="34">
        <f>IF(AND(BI$5&gt;$E82,BI$5&lt;=$F82),IF(BI$5=$E82+1,$C82,""),"")</f>
        <v/>
      </c>
      <c r="BJ82" s="34">
        <f>IF(AND(BJ$5&gt;$E82,BJ$5&lt;=$F82),IF(BJ$5=$E82+1,$C82,""),"")</f>
        <v/>
      </c>
      <c r="BK82" s="34">
        <f>IF(AND(BK$5&gt;$E82,BK$5&lt;=$F82),IF(BK$5=$E82+1,$C82,""),"")</f>
        <v/>
      </c>
      <c r="BL82" s="34">
        <f>IF(AND(BL$5&gt;$E82,BL$5&lt;=$F82),IF(BL$5=$E82+1,$C82,""),"")</f>
        <v/>
      </c>
      <c r="BM82" s="34">
        <f>IF(AND(BM$5&gt;$E82,BM$5&lt;=$F82),IF(BM$5=$E82+1,$C82,""),"")</f>
        <v/>
      </c>
      <c r="BN82" s="34">
        <f>IF(AND(BN$5&gt;$E82,BN$5&lt;=$F82),IF(BN$5=$E82+1,$C82,""),"")</f>
        <v/>
      </c>
      <c r="BO82" s="34">
        <f>IF(AND(BO$5&gt;$E82,BO$5&lt;=$F82),IF(BO$5=$E82+1,$C82,""),"")</f>
        <v/>
      </c>
      <c r="BP82" s="34">
        <f>IF(AND(BP$5&gt;$E82,BP$5&lt;=$F82),IF(BP$5=$E82+1,$C82,""),"")</f>
        <v/>
      </c>
      <c r="BQ82" s="34">
        <f>IF(AND(BQ$5&gt;$E82,BQ$5&lt;=$F82),IF(BQ$5=$E82+1,$C82,""),"")</f>
        <v/>
      </c>
      <c r="BR82" s="34">
        <f>IF(AND(BR$5&gt;$E82,BR$5&lt;=$F82),IF(BR$5=$E82+1,$C82,""),"")</f>
        <v/>
      </c>
      <c r="BS82" s="34">
        <f>IF(AND(BS$5&gt;$E82,BS$5&lt;=$F82),IF(BS$5=$E82+1,$C82,""),"")</f>
        <v/>
      </c>
      <c r="BT82" s="34">
        <f>IF(AND(BT$5&gt;$E82,BT$5&lt;=$F82),IF(BT$5=$E82+1,$C82,""),"")</f>
        <v/>
      </c>
      <c r="BU82" s="34">
        <f>IF(AND(BU$5&gt;$E82,BU$5&lt;=$F82),IF(BU$5=$E82+1,$C82,""),"")</f>
        <v/>
      </c>
      <c r="BV82" s="34">
        <f>IF(AND(BV$5&gt;$E82,BV$5&lt;=$F82),IF(BV$5=$E82+1,$C82,""),"")</f>
        <v/>
      </c>
      <c r="BW82" s="34">
        <f>IF(AND(BW$5&gt;$E82,BW$5&lt;=$F82),IF(BW$5=$E82+1,$C82,""),"")</f>
        <v/>
      </c>
      <c r="BX82" s="34">
        <f>IF(AND(BX$5&gt;$E82,BX$5&lt;=$F82),IF(BX$5=$E82+1,$C82,""),"")</f>
        <v/>
      </c>
      <c r="BY82" s="34">
        <f>IF(AND(BY$5&gt;$E82,BY$5&lt;=$F82),IF(BY$5=$E82+1,$C82,""),"")</f>
        <v/>
      </c>
      <c r="BZ82" s="34">
        <f>IF(AND(BZ$5&gt;$E82,BZ$5&lt;=$F82),IF(BZ$5=$E82+1,$C82,""),"")</f>
        <v/>
      </c>
      <c r="CA82" s="34">
        <f>IF(AND(CA$5&gt;$E82,CA$5&lt;=$F82),IF(CA$5=$E82+1,$C82,""),"")</f>
        <v/>
      </c>
      <c r="CB82" s="34">
        <f>IF(AND(CB$5&gt;$E82,CB$5&lt;=$F82),IF(CB$5=$E82+1,$C82,""),"")</f>
        <v/>
      </c>
      <c r="CC82" s="34">
        <f>IF(AND(CC$5&gt;$E82,CC$5&lt;=$F82),IF(CC$5=$E82+1,$C82,""),"")</f>
        <v/>
      </c>
      <c r="CD82" s="34">
        <f>IF(AND(CD$5&gt;$E82,CD$5&lt;=$F82),IF(CD$5=$E82+1,$C82,""),"")</f>
        <v/>
      </c>
      <c r="CE82" s="34">
        <f>IF(AND(CE$5&gt;$E82,CE$5&lt;=$F82),IF(CE$5=$E82+1,$C82,""),"")</f>
        <v/>
      </c>
      <c r="CF82" s="34">
        <f>IF(AND(CF$5&gt;$E82,CF$5&lt;=$F82),IF(CF$5=$E82+1,$C82,""),"")</f>
        <v/>
      </c>
      <c r="CG82" s="34">
        <f>IF(AND(CG$5&gt;$E82,CG$5&lt;=$F82),IF(CG$5=$E82+1,$C82,""),"")</f>
        <v/>
      </c>
      <c r="CH82" s="34">
        <f>IF(AND(CH$5&gt;$E82,CH$5&lt;=$F82),IF(CH$5=$E82+1,$C82,""),"")</f>
        <v/>
      </c>
      <c r="CI82" s="34">
        <f>IF(AND(CI$5&gt;$E82,CI$5&lt;=$F82),IF(CI$5=$E82+1,$C82,""),"")</f>
        <v/>
      </c>
      <c r="CJ82" s="34">
        <f>IF(AND(CJ$5&gt;$E82,CJ$5&lt;=$F82),IF(CJ$5=$E82+1,$C82,""),"")</f>
        <v/>
      </c>
      <c r="CK82" s="34">
        <f>IF(AND(CK$5&gt;$E82,CK$5&lt;=$F82),IF(CK$5=$E82+1,$C82,""),"")</f>
        <v/>
      </c>
      <c r="CL82" s="34">
        <f>IF(AND(CL$5&gt;$E82,CL$5&lt;=$F82),IF(CL$5=$E82+1,$C82,""),"")</f>
        <v/>
      </c>
      <c r="CM82" s="34">
        <f>IF(AND(CM$5&gt;$E82,CM$5&lt;=$F82),IF(CM$5=$E82+1,$C82,""),"")</f>
        <v/>
      </c>
      <c r="CN82" s="34">
        <f>IF(AND(CN$5&gt;$E82,CN$5&lt;=$F82),IF(CN$5=$E82+1,$C82,""),"")</f>
        <v/>
      </c>
      <c r="CO82" s="34">
        <f>IF(AND(CO$5&gt;$E82,CO$5&lt;=$F82),IF(CO$5=$E82+1,$C82,""),"")</f>
        <v/>
      </c>
      <c r="CP82" s="34">
        <f>IF(AND(CP$5&gt;$E82,CP$5&lt;=$F82),IF(CP$5=$E82+1,$C82,""),"")</f>
        <v/>
      </c>
      <c r="CQ82" s="34">
        <f>IF(AND(CQ$5&gt;$E82,CQ$5&lt;=$F82),IF(CQ$5=$E82+1,$C82,""),"")</f>
        <v/>
      </c>
      <c r="CR82" s="34">
        <f>IF(AND(CR$5&gt;$E82,CR$5&lt;=$F82),IF(CR$5=$E82+1,$C82,""),"")</f>
        <v/>
      </c>
      <c r="CS82" s="34">
        <f>IF(AND(CS$5&gt;$E82,CS$5&lt;=$F82),IF(CS$5=$E82+1,$C82,""),"")</f>
        <v/>
      </c>
    </row>
    <row r="83">
      <c r="A83" s="32">
        <f>Plan!A73</f>
        <v/>
      </c>
      <c r="B83" s="33">
        <f>Plan!C73</f>
        <v/>
      </c>
      <c r="C83" s="16">
        <f>Plan!D73</f>
        <v/>
      </c>
      <c r="D83" s="16">
        <f>Plan!I73</f>
        <v/>
      </c>
      <c r="E83" s="16">
        <f>Plan!K73</f>
        <v/>
      </c>
      <c r="F83" s="16">
        <f>Plan!L73</f>
        <v/>
      </c>
      <c r="G83" s="16">
        <f>Plan!O73</f>
        <v/>
      </c>
      <c r="H83" s="34">
        <f>IF(AND(H$5&gt;$E83,H$5&lt;=$F83),IF(H$5=$E83+1,$C83,""),"")</f>
        <v/>
      </c>
      <c r="I83" s="34">
        <f>IF(AND(I$5&gt;$E83,I$5&lt;=$F83),IF(I$5=$E83+1,$C83,""),"")</f>
        <v/>
      </c>
      <c r="J83" s="34">
        <f>IF(AND(J$5&gt;$E83,J$5&lt;=$F83),IF(J$5=$E83+1,$C83,""),"")</f>
        <v/>
      </c>
      <c r="K83" s="34">
        <f>IF(AND(K$5&gt;$E83,K$5&lt;=$F83),IF(K$5=$E83+1,$C83,""),"")</f>
        <v/>
      </c>
      <c r="L83" s="34">
        <f>IF(AND(L$5&gt;$E83,L$5&lt;=$F83),IF(L$5=$E83+1,$C83,""),"")</f>
        <v/>
      </c>
      <c r="M83" s="34">
        <f>IF(AND(M$5&gt;$E83,M$5&lt;=$F83),IF(M$5=$E83+1,$C83,""),"")</f>
        <v/>
      </c>
      <c r="N83" s="34">
        <f>IF(AND(N$5&gt;$E83,N$5&lt;=$F83),IF(N$5=$E83+1,$C83,""),"")</f>
        <v/>
      </c>
      <c r="O83" s="34">
        <f>IF(AND(O$5&gt;$E83,O$5&lt;=$F83),IF(O$5=$E83+1,$C83,""),"")</f>
        <v/>
      </c>
      <c r="P83" s="34">
        <f>IF(AND(P$5&gt;$E83,P$5&lt;=$F83),IF(P$5=$E83+1,$C83,""),"")</f>
        <v/>
      </c>
      <c r="Q83" s="34">
        <f>IF(AND(Q$5&gt;$E83,Q$5&lt;=$F83),IF(Q$5=$E83+1,$C83,""),"")</f>
        <v/>
      </c>
      <c r="R83" s="34">
        <f>IF(AND(R$5&gt;$E83,R$5&lt;=$F83),IF(R$5=$E83+1,$C83,""),"")</f>
        <v/>
      </c>
      <c r="S83" s="34">
        <f>IF(AND(S$5&gt;$E83,S$5&lt;=$F83),IF(S$5=$E83+1,$C83,""),"")</f>
        <v/>
      </c>
      <c r="T83" s="34">
        <f>IF(AND(T$5&gt;$E83,T$5&lt;=$F83),IF(T$5=$E83+1,$C83,""),"")</f>
        <v/>
      </c>
      <c r="U83" s="34">
        <f>IF(AND(U$5&gt;$E83,U$5&lt;=$F83),IF(U$5=$E83+1,$C83,""),"")</f>
        <v/>
      </c>
      <c r="V83" s="34">
        <f>IF(AND(V$5&gt;$E83,V$5&lt;=$F83),IF(V$5=$E83+1,$C83,""),"")</f>
        <v/>
      </c>
      <c r="W83" s="34">
        <f>IF(AND(W$5&gt;$E83,W$5&lt;=$F83),IF(W$5=$E83+1,$C83,""),"")</f>
        <v/>
      </c>
      <c r="X83" s="34">
        <f>IF(AND(X$5&gt;$E83,X$5&lt;=$F83),IF(X$5=$E83+1,$C83,""),"")</f>
        <v/>
      </c>
      <c r="Y83" s="34">
        <f>IF(AND(Y$5&gt;$E83,Y$5&lt;=$F83),IF(Y$5=$E83+1,$C83,""),"")</f>
        <v/>
      </c>
      <c r="Z83" s="34">
        <f>IF(AND(Z$5&gt;$E83,Z$5&lt;=$F83),IF(Z$5=$E83+1,$C83,""),"")</f>
        <v/>
      </c>
      <c r="AA83" s="34">
        <f>IF(AND(AA$5&gt;$E83,AA$5&lt;=$F83),IF(AA$5=$E83+1,$C83,""),"")</f>
        <v/>
      </c>
      <c r="AB83" s="34">
        <f>IF(AND(AB$5&gt;$E83,AB$5&lt;=$F83),IF(AB$5=$E83+1,$C83,""),"")</f>
        <v/>
      </c>
      <c r="AC83" s="34">
        <f>IF(AND(AC$5&gt;$E83,AC$5&lt;=$F83),IF(AC$5=$E83+1,$C83,""),"")</f>
        <v/>
      </c>
      <c r="AD83" s="34">
        <f>IF(AND(AD$5&gt;$E83,AD$5&lt;=$F83),IF(AD$5=$E83+1,$C83,""),"")</f>
        <v/>
      </c>
      <c r="AE83" s="34">
        <f>IF(AND(AE$5&gt;$E83,AE$5&lt;=$F83),IF(AE$5=$E83+1,$C83,""),"")</f>
        <v/>
      </c>
      <c r="AF83" s="34">
        <f>IF(AND(AF$5&gt;$E83,AF$5&lt;=$F83),IF(AF$5=$E83+1,$C83,""),"")</f>
        <v/>
      </c>
      <c r="AG83" s="34">
        <f>IF(AND(AG$5&gt;$E83,AG$5&lt;=$F83),IF(AG$5=$E83+1,$C83,""),"")</f>
        <v/>
      </c>
      <c r="AH83" s="34">
        <f>IF(AND(AH$5&gt;$E83,AH$5&lt;=$F83),IF(AH$5=$E83+1,$C83,""),"")</f>
        <v/>
      </c>
      <c r="AI83" s="34">
        <f>IF(AND(AI$5&gt;$E83,AI$5&lt;=$F83),IF(AI$5=$E83+1,$C83,""),"")</f>
        <v/>
      </c>
      <c r="AJ83" s="34">
        <f>IF(AND(AJ$5&gt;$E83,AJ$5&lt;=$F83),IF(AJ$5=$E83+1,$C83,""),"")</f>
        <v/>
      </c>
      <c r="AK83" s="34">
        <f>IF(AND(AK$5&gt;$E83,AK$5&lt;=$F83),IF(AK$5=$E83+1,$C83,""),"")</f>
        <v/>
      </c>
      <c r="AL83" s="34">
        <f>IF(AND(AL$5&gt;$E83,AL$5&lt;=$F83),IF(AL$5=$E83+1,$C83,""),"")</f>
        <v/>
      </c>
      <c r="AM83" s="34">
        <f>IF(AND(AM$5&gt;$E83,AM$5&lt;=$F83),IF(AM$5=$E83+1,$C83,""),"")</f>
        <v/>
      </c>
      <c r="AN83" s="34">
        <f>IF(AND(AN$5&gt;$E83,AN$5&lt;=$F83),IF(AN$5=$E83+1,$C83,""),"")</f>
        <v/>
      </c>
      <c r="AO83" s="34">
        <f>IF(AND(AO$5&gt;$E83,AO$5&lt;=$F83),IF(AO$5=$E83+1,$C83,""),"")</f>
        <v/>
      </c>
      <c r="AP83" s="34">
        <f>IF(AND(AP$5&gt;$E83,AP$5&lt;=$F83),IF(AP$5=$E83+1,$C83,""),"")</f>
        <v/>
      </c>
      <c r="AQ83" s="34">
        <f>IF(AND(AQ$5&gt;$E83,AQ$5&lt;=$F83),IF(AQ$5=$E83+1,$C83,""),"")</f>
        <v/>
      </c>
      <c r="AR83" s="34">
        <f>IF(AND(AR$5&gt;$E83,AR$5&lt;=$F83),IF(AR$5=$E83+1,$C83,""),"")</f>
        <v/>
      </c>
      <c r="AS83" s="34">
        <f>IF(AND(AS$5&gt;$E83,AS$5&lt;=$F83),IF(AS$5=$E83+1,$C83,""),"")</f>
        <v/>
      </c>
      <c r="AT83" s="34">
        <f>IF(AND(AT$5&gt;$E83,AT$5&lt;=$F83),IF(AT$5=$E83+1,$C83,""),"")</f>
        <v/>
      </c>
      <c r="AU83" s="34">
        <f>IF(AND(AU$5&gt;$E83,AU$5&lt;=$F83),IF(AU$5=$E83+1,$C83,""),"")</f>
        <v/>
      </c>
      <c r="AV83" s="34">
        <f>IF(AND(AV$5&gt;$E83,AV$5&lt;=$F83),IF(AV$5=$E83+1,$C83,""),"")</f>
        <v/>
      </c>
      <c r="AW83" s="34">
        <f>IF(AND(AW$5&gt;$E83,AW$5&lt;=$F83),IF(AW$5=$E83+1,$C83,""),"")</f>
        <v/>
      </c>
      <c r="AX83" s="34">
        <f>IF(AND(AX$5&gt;$E83,AX$5&lt;=$F83),IF(AX$5=$E83+1,$C83,""),"")</f>
        <v/>
      </c>
      <c r="AY83" s="34">
        <f>IF(AND(AY$5&gt;$E83,AY$5&lt;=$F83),IF(AY$5=$E83+1,$C83,""),"")</f>
        <v/>
      </c>
      <c r="AZ83" s="34">
        <f>IF(AND(AZ$5&gt;$E83,AZ$5&lt;=$F83),IF(AZ$5=$E83+1,$C83,""),"")</f>
        <v/>
      </c>
      <c r="BA83" s="34">
        <f>IF(AND(BA$5&gt;$E83,BA$5&lt;=$F83),IF(BA$5=$E83+1,$C83,""),"")</f>
        <v/>
      </c>
      <c r="BB83" s="34">
        <f>IF(AND(BB$5&gt;$E83,BB$5&lt;=$F83),IF(BB$5=$E83+1,$C83,""),"")</f>
        <v/>
      </c>
      <c r="BC83" s="34">
        <f>IF(AND(BC$5&gt;$E83,BC$5&lt;=$F83),IF(BC$5=$E83+1,$C83,""),"")</f>
        <v/>
      </c>
      <c r="BD83" s="34">
        <f>IF(AND(BD$5&gt;$E83,BD$5&lt;=$F83),IF(BD$5=$E83+1,$C83,""),"")</f>
        <v/>
      </c>
      <c r="BE83" s="34">
        <f>IF(AND(BE$5&gt;$E83,BE$5&lt;=$F83),IF(BE$5=$E83+1,$C83,""),"")</f>
        <v/>
      </c>
      <c r="BF83" s="34">
        <f>IF(AND(BF$5&gt;$E83,BF$5&lt;=$F83),IF(BF$5=$E83+1,$C83,""),"")</f>
        <v/>
      </c>
      <c r="BG83" s="34">
        <f>IF(AND(BG$5&gt;$E83,BG$5&lt;=$F83),IF(BG$5=$E83+1,$C83,""),"")</f>
        <v/>
      </c>
      <c r="BH83" s="34">
        <f>IF(AND(BH$5&gt;$E83,BH$5&lt;=$F83),IF(BH$5=$E83+1,$C83,""),"")</f>
        <v/>
      </c>
      <c r="BI83" s="34">
        <f>IF(AND(BI$5&gt;$E83,BI$5&lt;=$F83),IF(BI$5=$E83+1,$C83,""),"")</f>
        <v/>
      </c>
      <c r="BJ83" s="34">
        <f>IF(AND(BJ$5&gt;$E83,BJ$5&lt;=$F83),IF(BJ$5=$E83+1,$C83,""),"")</f>
        <v/>
      </c>
      <c r="BK83" s="34">
        <f>IF(AND(BK$5&gt;$E83,BK$5&lt;=$F83),IF(BK$5=$E83+1,$C83,""),"")</f>
        <v/>
      </c>
      <c r="BL83" s="34">
        <f>IF(AND(BL$5&gt;$E83,BL$5&lt;=$F83),IF(BL$5=$E83+1,$C83,""),"")</f>
        <v/>
      </c>
      <c r="BM83" s="34">
        <f>IF(AND(BM$5&gt;$E83,BM$5&lt;=$F83),IF(BM$5=$E83+1,$C83,""),"")</f>
        <v/>
      </c>
      <c r="BN83" s="34">
        <f>IF(AND(BN$5&gt;$E83,BN$5&lt;=$F83),IF(BN$5=$E83+1,$C83,""),"")</f>
        <v/>
      </c>
      <c r="BO83" s="34">
        <f>IF(AND(BO$5&gt;$E83,BO$5&lt;=$F83),IF(BO$5=$E83+1,$C83,""),"")</f>
        <v/>
      </c>
      <c r="BP83" s="34">
        <f>IF(AND(BP$5&gt;$E83,BP$5&lt;=$F83),IF(BP$5=$E83+1,$C83,""),"")</f>
        <v/>
      </c>
      <c r="BQ83" s="34">
        <f>IF(AND(BQ$5&gt;$E83,BQ$5&lt;=$F83),IF(BQ$5=$E83+1,$C83,""),"")</f>
        <v/>
      </c>
      <c r="BR83" s="34">
        <f>IF(AND(BR$5&gt;$E83,BR$5&lt;=$F83),IF(BR$5=$E83+1,$C83,""),"")</f>
        <v/>
      </c>
      <c r="BS83" s="34">
        <f>IF(AND(BS$5&gt;$E83,BS$5&lt;=$F83),IF(BS$5=$E83+1,$C83,""),"")</f>
        <v/>
      </c>
      <c r="BT83" s="34">
        <f>IF(AND(BT$5&gt;$E83,BT$5&lt;=$F83),IF(BT$5=$E83+1,$C83,""),"")</f>
        <v/>
      </c>
      <c r="BU83" s="34">
        <f>IF(AND(BU$5&gt;$E83,BU$5&lt;=$F83),IF(BU$5=$E83+1,$C83,""),"")</f>
        <v/>
      </c>
      <c r="BV83" s="34">
        <f>IF(AND(BV$5&gt;$E83,BV$5&lt;=$F83),IF(BV$5=$E83+1,$C83,""),"")</f>
        <v/>
      </c>
      <c r="BW83" s="34">
        <f>IF(AND(BW$5&gt;$E83,BW$5&lt;=$F83),IF(BW$5=$E83+1,$C83,""),"")</f>
        <v/>
      </c>
      <c r="BX83" s="34">
        <f>IF(AND(BX$5&gt;$E83,BX$5&lt;=$F83),IF(BX$5=$E83+1,$C83,""),"")</f>
        <v/>
      </c>
      <c r="BY83" s="34">
        <f>IF(AND(BY$5&gt;$E83,BY$5&lt;=$F83),IF(BY$5=$E83+1,$C83,""),"")</f>
        <v/>
      </c>
      <c r="BZ83" s="34">
        <f>IF(AND(BZ$5&gt;$E83,BZ$5&lt;=$F83),IF(BZ$5=$E83+1,$C83,""),"")</f>
        <v/>
      </c>
      <c r="CA83" s="34">
        <f>IF(AND(CA$5&gt;$E83,CA$5&lt;=$F83),IF(CA$5=$E83+1,$C83,""),"")</f>
        <v/>
      </c>
      <c r="CB83" s="34">
        <f>IF(AND(CB$5&gt;$E83,CB$5&lt;=$F83),IF(CB$5=$E83+1,$C83,""),"")</f>
        <v/>
      </c>
      <c r="CC83" s="34">
        <f>IF(AND(CC$5&gt;$E83,CC$5&lt;=$F83),IF(CC$5=$E83+1,$C83,""),"")</f>
        <v/>
      </c>
      <c r="CD83" s="34">
        <f>IF(AND(CD$5&gt;$E83,CD$5&lt;=$F83),IF(CD$5=$E83+1,$C83,""),"")</f>
        <v/>
      </c>
      <c r="CE83" s="34">
        <f>IF(AND(CE$5&gt;$E83,CE$5&lt;=$F83),IF(CE$5=$E83+1,$C83,""),"")</f>
        <v/>
      </c>
      <c r="CF83" s="34">
        <f>IF(AND(CF$5&gt;$E83,CF$5&lt;=$F83),IF(CF$5=$E83+1,$C83,""),"")</f>
        <v/>
      </c>
      <c r="CG83" s="34">
        <f>IF(AND(CG$5&gt;$E83,CG$5&lt;=$F83),IF(CG$5=$E83+1,$C83,""),"")</f>
        <v/>
      </c>
      <c r="CH83" s="34">
        <f>IF(AND(CH$5&gt;$E83,CH$5&lt;=$F83),IF(CH$5=$E83+1,$C83,""),"")</f>
        <v/>
      </c>
      <c r="CI83" s="34">
        <f>IF(AND(CI$5&gt;$E83,CI$5&lt;=$F83),IF(CI$5=$E83+1,$C83,""),"")</f>
        <v/>
      </c>
      <c r="CJ83" s="34">
        <f>IF(AND(CJ$5&gt;$E83,CJ$5&lt;=$F83),IF(CJ$5=$E83+1,$C83,""),"")</f>
        <v/>
      </c>
      <c r="CK83" s="34">
        <f>IF(AND(CK$5&gt;$E83,CK$5&lt;=$F83),IF(CK$5=$E83+1,$C83,""),"")</f>
        <v/>
      </c>
      <c r="CL83" s="34">
        <f>IF(AND(CL$5&gt;$E83,CL$5&lt;=$F83),IF(CL$5=$E83+1,$C83,""),"")</f>
        <v/>
      </c>
      <c r="CM83" s="34">
        <f>IF(AND(CM$5&gt;$E83,CM$5&lt;=$F83),IF(CM$5=$E83+1,$C83,""),"")</f>
        <v/>
      </c>
      <c r="CN83" s="34">
        <f>IF(AND(CN$5&gt;$E83,CN$5&lt;=$F83),IF(CN$5=$E83+1,$C83,""),"")</f>
        <v/>
      </c>
      <c r="CO83" s="34">
        <f>IF(AND(CO$5&gt;$E83,CO$5&lt;=$F83),IF(CO$5=$E83+1,$C83,""),"")</f>
        <v/>
      </c>
      <c r="CP83" s="34">
        <f>IF(AND(CP$5&gt;$E83,CP$5&lt;=$F83),IF(CP$5=$E83+1,$C83,""),"")</f>
        <v/>
      </c>
      <c r="CQ83" s="34">
        <f>IF(AND(CQ$5&gt;$E83,CQ$5&lt;=$F83),IF(CQ$5=$E83+1,$C83,""),"")</f>
        <v/>
      </c>
      <c r="CR83" s="34">
        <f>IF(AND(CR$5&gt;$E83,CR$5&lt;=$F83),IF(CR$5=$E83+1,$C83,""),"")</f>
        <v/>
      </c>
      <c r="CS83" s="34">
        <f>IF(AND(CS$5&gt;$E83,CS$5&lt;=$F83),IF(CS$5=$E83+1,$C83,""),"")</f>
        <v/>
      </c>
    </row>
    <row r="84">
      <c r="A84" s="32">
        <f>Plan!A74</f>
        <v/>
      </c>
      <c r="B84" s="33">
        <f>Plan!C74</f>
        <v/>
      </c>
      <c r="C84" s="16">
        <f>Plan!D74</f>
        <v/>
      </c>
      <c r="D84" s="16">
        <f>Plan!I74</f>
        <v/>
      </c>
      <c r="E84" s="16">
        <f>Plan!K74</f>
        <v/>
      </c>
      <c r="F84" s="16">
        <f>Plan!L74</f>
        <v/>
      </c>
      <c r="G84" s="16">
        <f>Plan!O74</f>
        <v/>
      </c>
      <c r="H84" s="34">
        <f>IF(AND(H$5&gt;$E84,H$5&lt;=$F84),IF(H$5=$E84+1,$C84,""),"")</f>
        <v/>
      </c>
      <c r="I84" s="34">
        <f>IF(AND(I$5&gt;$E84,I$5&lt;=$F84),IF(I$5=$E84+1,$C84,""),"")</f>
        <v/>
      </c>
      <c r="J84" s="34">
        <f>IF(AND(J$5&gt;$E84,J$5&lt;=$F84),IF(J$5=$E84+1,$C84,""),"")</f>
        <v/>
      </c>
      <c r="K84" s="34">
        <f>IF(AND(K$5&gt;$E84,K$5&lt;=$F84),IF(K$5=$E84+1,$C84,""),"")</f>
        <v/>
      </c>
      <c r="L84" s="34">
        <f>IF(AND(L$5&gt;$E84,L$5&lt;=$F84),IF(L$5=$E84+1,$C84,""),"")</f>
        <v/>
      </c>
      <c r="M84" s="34">
        <f>IF(AND(M$5&gt;$E84,M$5&lt;=$F84),IF(M$5=$E84+1,$C84,""),"")</f>
        <v/>
      </c>
      <c r="N84" s="34">
        <f>IF(AND(N$5&gt;$E84,N$5&lt;=$F84),IF(N$5=$E84+1,$C84,""),"")</f>
        <v/>
      </c>
      <c r="O84" s="34">
        <f>IF(AND(O$5&gt;$E84,O$5&lt;=$F84),IF(O$5=$E84+1,$C84,""),"")</f>
        <v/>
      </c>
      <c r="P84" s="34">
        <f>IF(AND(P$5&gt;$E84,P$5&lt;=$F84),IF(P$5=$E84+1,$C84,""),"")</f>
        <v/>
      </c>
      <c r="Q84" s="34">
        <f>IF(AND(Q$5&gt;$E84,Q$5&lt;=$F84),IF(Q$5=$E84+1,$C84,""),"")</f>
        <v/>
      </c>
      <c r="R84" s="34">
        <f>IF(AND(R$5&gt;$E84,R$5&lt;=$F84),IF(R$5=$E84+1,$C84,""),"")</f>
        <v/>
      </c>
      <c r="S84" s="34">
        <f>IF(AND(S$5&gt;$E84,S$5&lt;=$F84),IF(S$5=$E84+1,$C84,""),"")</f>
        <v/>
      </c>
      <c r="T84" s="34">
        <f>IF(AND(T$5&gt;$E84,T$5&lt;=$F84),IF(T$5=$E84+1,$C84,""),"")</f>
        <v/>
      </c>
      <c r="U84" s="34">
        <f>IF(AND(U$5&gt;$E84,U$5&lt;=$F84),IF(U$5=$E84+1,$C84,""),"")</f>
        <v/>
      </c>
      <c r="V84" s="34">
        <f>IF(AND(V$5&gt;$E84,V$5&lt;=$F84),IF(V$5=$E84+1,$C84,""),"")</f>
        <v/>
      </c>
      <c r="W84" s="34">
        <f>IF(AND(W$5&gt;$E84,W$5&lt;=$F84),IF(W$5=$E84+1,$C84,""),"")</f>
        <v/>
      </c>
      <c r="X84" s="34">
        <f>IF(AND(X$5&gt;$E84,X$5&lt;=$F84),IF(X$5=$E84+1,$C84,""),"")</f>
        <v/>
      </c>
      <c r="Y84" s="34">
        <f>IF(AND(Y$5&gt;$E84,Y$5&lt;=$F84),IF(Y$5=$E84+1,$C84,""),"")</f>
        <v/>
      </c>
      <c r="Z84" s="34">
        <f>IF(AND(Z$5&gt;$E84,Z$5&lt;=$F84),IF(Z$5=$E84+1,$C84,""),"")</f>
        <v/>
      </c>
      <c r="AA84" s="34">
        <f>IF(AND(AA$5&gt;$E84,AA$5&lt;=$F84),IF(AA$5=$E84+1,$C84,""),"")</f>
        <v/>
      </c>
      <c r="AB84" s="34">
        <f>IF(AND(AB$5&gt;$E84,AB$5&lt;=$F84),IF(AB$5=$E84+1,$C84,""),"")</f>
        <v/>
      </c>
      <c r="AC84" s="34">
        <f>IF(AND(AC$5&gt;$E84,AC$5&lt;=$F84),IF(AC$5=$E84+1,$C84,""),"")</f>
        <v/>
      </c>
      <c r="AD84" s="34">
        <f>IF(AND(AD$5&gt;$E84,AD$5&lt;=$F84),IF(AD$5=$E84+1,$C84,""),"")</f>
        <v/>
      </c>
      <c r="AE84" s="34">
        <f>IF(AND(AE$5&gt;$E84,AE$5&lt;=$F84),IF(AE$5=$E84+1,$C84,""),"")</f>
        <v/>
      </c>
      <c r="AF84" s="34">
        <f>IF(AND(AF$5&gt;$E84,AF$5&lt;=$F84),IF(AF$5=$E84+1,$C84,""),"")</f>
        <v/>
      </c>
      <c r="AG84" s="34">
        <f>IF(AND(AG$5&gt;$E84,AG$5&lt;=$F84),IF(AG$5=$E84+1,$C84,""),"")</f>
        <v/>
      </c>
      <c r="AH84" s="34">
        <f>IF(AND(AH$5&gt;$E84,AH$5&lt;=$F84),IF(AH$5=$E84+1,$C84,""),"")</f>
        <v/>
      </c>
      <c r="AI84" s="34">
        <f>IF(AND(AI$5&gt;$E84,AI$5&lt;=$F84),IF(AI$5=$E84+1,$C84,""),"")</f>
        <v/>
      </c>
      <c r="AJ84" s="34">
        <f>IF(AND(AJ$5&gt;$E84,AJ$5&lt;=$F84),IF(AJ$5=$E84+1,$C84,""),"")</f>
        <v/>
      </c>
      <c r="AK84" s="34">
        <f>IF(AND(AK$5&gt;$E84,AK$5&lt;=$F84),IF(AK$5=$E84+1,$C84,""),"")</f>
        <v/>
      </c>
      <c r="AL84" s="34">
        <f>IF(AND(AL$5&gt;$E84,AL$5&lt;=$F84),IF(AL$5=$E84+1,$C84,""),"")</f>
        <v/>
      </c>
      <c r="AM84" s="34">
        <f>IF(AND(AM$5&gt;$E84,AM$5&lt;=$F84),IF(AM$5=$E84+1,$C84,""),"")</f>
        <v/>
      </c>
      <c r="AN84" s="34">
        <f>IF(AND(AN$5&gt;$E84,AN$5&lt;=$F84),IF(AN$5=$E84+1,$C84,""),"")</f>
        <v/>
      </c>
      <c r="AO84" s="34">
        <f>IF(AND(AO$5&gt;$E84,AO$5&lt;=$F84),IF(AO$5=$E84+1,$C84,""),"")</f>
        <v/>
      </c>
      <c r="AP84" s="34">
        <f>IF(AND(AP$5&gt;$E84,AP$5&lt;=$F84),IF(AP$5=$E84+1,$C84,""),"")</f>
        <v/>
      </c>
      <c r="AQ84" s="34">
        <f>IF(AND(AQ$5&gt;$E84,AQ$5&lt;=$F84),IF(AQ$5=$E84+1,$C84,""),"")</f>
        <v/>
      </c>
      <c r="AR84" s="34">
        <f>IF(AND(AR$5&gt;$E84,AR$5&lt;=$F84),IF(AR$5=$E84+1,$C84,""),"")</f>
        <v/>
      </c>
      <c r="AS84" s="34">
        <f>IF(AND(AS$5&gt;$E84,AS$5&lt;=$F84),IF(AS$5=$E84+1,$C84,""),"")</f>
        <v/>
      </c>
      <c r="AT84" s="34">
        <f>IF(AND(AT$5&gt;$E84,AT$5&lt;=$F84),IF(AT$5=$E84+1,$C84,""),"")</f>
        <v/>
      </c>
      <c r="AU84" s="34">
        <f>IF(AND(AU$5&gt;$E84,AU$5&lt;=$F84),IF(AU$5=$E84+1,$C84,""),"")</f>
        <v/>
      </c>
      <c r="AV84" s="34">
        <f>IF(AND(AV$5&gt;$E84,AV$5&lt;=$F84),IF(AV$5=$E84+1,$C84,""),"")</f>
        <v/>
      </c>
      <c r="AW84" s="34">
        <f>IF(AND(AW$5&gt;$E84,AW$5&lt;=$F84),IF(AW$5=$E84+1,$C84,""),"")</f>
        <v/>
      </c>
      <c r="AX84" s="34">
        <f>IF(AND(AX$5&gt;$E84,AX$5&lt;=$F84),IF(AX$5=$E84+1,$C84,""),"")</f>
        <v/>
      </c>
      <c r="AY84" s="34">
        <f>IF(AND(AY$5&gt;$E84,AY$5&lt;=$F84),IF(AY$5=$E84+1,$C84,""),"")</f>
        <v/>
      </c>
      <c r="AZ84" s="34">
        <f>IF(AND(AZ$5&gt;$E84,AZ$5&lt;=$F84),IF(AZ$5=$E84+1,$C84,""),"")</f>
        <v/>
      </c>
      <c r="BA84" s="34">
        <f>IF(AND(BA$5&gt;$E84,BA$5&lt;=$F84),IF(BA$5=$E84+1,$C84,""),"")</f>
        <v/>
      </c>
      <c r="BB84" s="34">
        <f>IF(AND(BB$5&gt;$E84,BB$5&lt;=$F84),IF(BB$5=$E84+1,$C84,""),"")</f>
        <v/>
      </c>
      <c r="BC84" s="34">
        <f>IF(AND(BC$5&gt;$E84,BC$5&lt;=$F84),IF(BC$5=$E84+1,$C84,""),"")</f>
        <v/>
      </c>
      <c r="BD84" s="34">
        <f>IF(AND(BD$5&gt;$E84,BD$5&lt;=$F84),IF(BD$5=$E84+1,$C84,""),"")</f>
        <v/>
      </c>
      <c r="BE84" s="34">
        <f>IF(AND(BE$5&gt;$E84,BE$5&lt;=$F84),IF(BE$5=$E84+1,$C84,""),"")</f>
        <v/>
      </c>
      <c r="BF84" s="34">
        <f>IF(AND(BF$5&gt;$E84,BF$5&lt;=$F84),IF(BF$5=$E84+1,$C84,""),"")</f>
        <v/>
      </c>
      <c r="BG84" s="34">
        <f>IF(AND(BG$5&gt;$E84,BG$5&lt;=$F84),IF(BG$5=$E84+1,$C84,""),"")</f>
        <v/>
      </c>
      <c r="BH84" s="34">
        <f>IF(AND(BH$5&gt;$E84,BH$5&lt;=$F84),IF(BH$5=$E84+1,$C84,""),"")</f>
        <v/>
      </c>
      <c r="BI84" s="34">
        <f>IF(AND(BI$5&gt;$E84,BI$5&lt;=$F84),IF(BI$5=$E84+1,$C84,""),"")</f>
        <v/>
      </c>
      <c r="BJ84" s="34">
        <f>IF(AND(BJ$5&gt;$E84,BJ$5&lt;=$F84),IF(BJ$5=$E84+1,$C84,""),"")</f>
        <v/>
      </c>
      <c r="BK84" s="34">
        <f>IF(AND(BK$5&gt;$E84,BK$5&lt;=$F84),IF(BK$5=$E84+1,$C84,""),"")</f>
        <v/>
      </c>
      <c r="BL84" s="34">
        <f>IF(AND(BL$5&gt;$E84,BL$5&lt;=$F84),IF(BL$5=$E84+1,$C84,""),"")</f>
        <v/>
      </c>
      <c r="BM84" s="34">
        <f>IF(AND(BM$5&gt;$E84,BM$5&lt;=$F84),IF(BM$5=$E84+1,$C84,""),"")</f>
        <v/>
      </c>
      <c r="BN84" s="34">
        <f>IF(AND(BN$5&gt;$E84,BN$5&lt;=$F84),IF(BN$5=$E84+1,$C84,""),"")</f>
        <v/>
      </c>
      <c r="BO84" s="34">
        <f>IF(AND(BO$5&gt;$E84,BO$5&lt;=$F84),IF(BO$5=$E84+1,$C84,""),"")</f>
        <v/>
      </c>
      <c r="BP84" s="34">
        <f>IF(AND(BP$5&gt;$E84,BP$5&lt;=$F84),IF(BP$5=$E84+1,$C84,""),"")</f>
        <v/>
      </c>
      <c r="BQ84" s="34">
        <f>IF(AND(BQ$5&gt;$E84,BQ$5&lt;=$F84),IF(BQ$5=$E84+1,$C84,""),"")</f>
        <v/>
      </c>
      <c r="BR84" s="34">
        <f>IF(AND(BR$5&gt;$E84,BR$5&lt;=$F84),IF(BR$5=$E84+1,$C84,""),"")</f>
        <v/>
      </c>
      <c r="BS84" s="34">
        <f>IF(AND(BS$5&gt;$E84,BS$5&lt;=$F84),IF(BS$5=$E84+1,$C84,""),"")</f>
        <v/>
      </c>
      <c r="BT84" s="34">
        <f>IF(AND(BT$5&gt;$E84,BT$5&lt;=$F84),IF(BT$5=$E84+1,$C84,""),"")</f>
        <v/>
      </c>
      <c r="BU84" s="34">
        <f>IF(AND(BU$5&gt;$E84,BU$5&lt;=$F84),IF(BU$5=$E84+1,$C84,""),"")</f>
        <v/>
      </c>
      <c r="BV84" s="34">
        <f>IF(AND(BV$5&gt;$E84,BV$5&lt;=$F84),IF(BV$5=$E84+1,$C84,""),"")</f>
        <v/>
      </c>
      <c r="BW84" s="34">
        <f>IF(AND(BW$5&gt;$E84,BW$5&lt;=$F84),IF(BW$5=$E84+1,$C84,""),"")</f>
        <v/>
      </c>
      <c r="BX84" s="34">
        <f>IF(AND(BX$5&gt;$E84,BX$5&lt;=$F84),IF(BX$5=$E84+1,$C84,""),"")</f>
        <v/>
      </c>
      <c r="BY84" s="34">
        <f>IF(AND(BY$5&gt;$E84,BY$5&lt;=$F84),IF(BY$5=$E84+1,$C84,""),"")</f>
        <v/>
      </c>
      <c r="BZ84" s="34">
        <f>IF(AND(BZ$5&gt;$E84,BZ$5&lt;=$F84),IF(BZ$5=$E84+1,$C84,""),"")</f>
        <v/>
      </c>
      <c r="CA84" s="34">
        <f>IF(AND(CA$5&gt;$E84,CA$5&lt;=$F84),IF(CA$5=$E84+1,$C84,""),"")</f>
        <v/>
      </c>
      <c r="CB84" s="34">
        <f>IF(AND(CB$5&gt;$E84,CB$5&lt;=$F84),IF(CB$5=$E84+1,$C84,""),"")</f>
        <v/>
      </c>
      <c r="CC84" s="34">
        <f>IF(AND(CC$5&gt;$E84,CC$5&lt;=$F84),IF(CC$5=$E84+1,$C84,""),"")</f>
        <v/>
      </c>
      <c r="CD84" s="34">
        <f>IF(AND(CD$5&gt;$E84,CD$5&lt;=$F84),IF(CD$5=$E84+1,$C84,""),"")</f>
        <v/>
      </c>
      <c r="CE84" s="34">
        <f>IF(AND(CE$5&gt;$E84,CE$5&lt;=$F84),IF(CE$5=$E84+1,$C84,""),"")</f>
        <v/>
      </c>
      <c r="CF84" s="34">
        <f>IF(AND(CF$5&gt;$E84,CF$5&lt;=$F84),IF(CF$5=$E84+1,$C84,""),"")</f>
        <v/>
      </c>
      <c r="CG84" s="34">
        <f>IF(AND(CG$5&gt;$E84,CG$5&lt;=$F84),IF(CG$5=$E84+1,$C84,""),"")</f>
        <v/>
      </c>
      <c r="CH84" s="34">
        <f>IF(AND(CH$5&gt;$E84,CH$5&lt;=$F84),IF(CH$5=$E84+1,$C84,""),"")</f>
        <v/>
      </c>
      <c r="CI84" s="34">
        <f>IF(AND(CI$5&gt;$E84,CI$5&lt;=$F84),IF(CI$5=$E84+1,$C84,""),"")</f>
        <v/>
      </c>
      <c r="CJ84" s="34">
        <f>IF(AND(CJ$5&gt;$E84,CJ$5&lt;=$F84),IF(CJ$5=$E84+1,$C84,""),"")</f>
        <v/>
      </c>
      <c r="CK84" s="34">
        <f>IF(AND(CK$5&gt;$E84,CK$5&lt;=$F84),IF(CK$5=$E84+1,$C84,""),"")</f>
        <v/>
      </c>
      <c r="CL84" s="34">
        <f>IF(AND(CL$5&gt;$E84,CL$5&lt;=$F84),IF(CL$5=$E84+1,$C84,""),"")</f>
        <v/>
      </c>
      <c r="CM84" s="34">
        <f>IF(AND(CM$5&gt;$E84,CM$5&lt;=$F84),IF(CM$5=$E84+1,$C84,""),"")</f>
        <v/>
      </c>
      <c r="CN84" s="34">
        <f>IF(AND(CN$5&gt;$E84,CN$5&lt;=$F84),IF(CN$5=$E84+1,$C84,""),"")</f>
        <v/>
      </c>
      <c r="CO84" s="34">
        <f>IF(AND(CO$5&gt;$E84,CO$5&lt;=$F84),IF(CO$5=$E84+1,$C84,""),"")</f>
        <v/>
      </c>
      <c r="CP84" s="34">
        <f>IF(AND(CP$5&gt;$E84,CP$5&lt;=$F84),IF(CP$5=$E84+1,$C84,""),"")</f>
        <v/>
      </c>
      <c r="CQ84" s="34">
        <f>IF(AND(CQ$5&gt;$E84,CQ$5&lt;=$F84),IF(CQ$5=$E84+1,$C84,""),"")</f>
        <v/>
      </c>
      <c r="CR84" s="34">
        <f>IF(AND(CR$5&gt;$E84,CR$5&lt;=$F84),IF(CR$5=$E84+1,$C84,""),"")</f>
        <v/>
      </c>
      <c r="CS84" s="34">
        <f>IF(AND(CS$5&gt;$E84,CS$5&lt;=$F84),IF(CS$5=$E84+1,$C84,""),"")</f>
        <v/>
      </c>
    </row>
    <row r="85">
      <c r="A85" s="32">
        <f>Plan!A75</f>
        <v/>
      </c>
      <c r="B85" s="33">
        <f>Plan!C75</f>
        <v/>
      </c>
      <c r="C85" s="16">
        <f>Plan!D75</f>
        <v/>
      </c>
      <c r="D85" s="16">
        <f>Plan!I75</f>
        <v/>
      </c>
      <c r="E85" s="16">
        <f>Plan!K75</f>
        <v/>
      </c>
      <c r="F85" s="16">
        <f>Plan!L75</f>
        <v/>
      </c>
      <c r="G85" s="16">
        <f>Plan!O75</f>
        <v/>
      </c>
      <c r="H85" s="34">
        <f>IF(AND(H$5&gt;$E85,H$5&lt;=$F85),IF(H$5=$E85+1,$C85,""),"")</f>
        <v/>
      </c>
      <c r="I85" s="34">
        <f>IF(AND(I$5&gt;$E85,I$5&lt;=$F85),IF(I$5=$E85+1,$C85,""),"")</f>
        <v/>
      </c>
      <c r="J85" s="34">
        <f>IF(AND(J$5&gt;$E85,J$5&lt;=$F85),IF(J$5=$E85+1,$C85,""),"")</f>
        <v/>
      </c>
      <c r="K85" s="34">
        <f>IF(AND(K$5&gt;$E85,K$5&lt;=$F85),IF(K$5=$E85+1,$C85,""),"")</f>
        <v/>
      </c>
      <c r="L85" s="34">
        <f>IF(AND(L$5&gt;$E85,L$5&lt;=$F85),IF(L$5=$E85+1,$C85,""),"")</f>
        <v/>
      </c>
      <c r="M85" s="34">
        <f>IF(AND(M$5&gt;$E85,M$5&lt;=$F85),IF(M$5=$E85+1,$C85,""),"")</f>
        <v/>
      </c>
      <c r="N85" s="34">
        <f>IF(AND(N$5&gt;$E85,N$5&lt;=$F85),IF(N$5=$E85+1,$C85,""),"")</f>
        <v/>
      </c>
      <c r="O85" s="34">
        <f>IF(AND(O$5&gt;$E85,O$5&lt;=$F85),IF(O$5=$E85+1,$C85,""),"")</f>
        <v/>
      </c>
      <c r="P85" s="34">
        <f>IF(AND(P$5&gt;$E85,P$5&lt;=$F85),IF(P$5=$E85+1,$C85,""),"")</f>
        <v/>
      </c>
      <c r="Q85" s="34">
        <f>IF(AND(Q$5&gt;$E85,Q$5&lt;=$F85),IF(Q$5=$E85+1,$C85,""),"")</f>
        <v/>
      </c>
      <c r="R85" s="34">
        <f>IF(AND(R$5&gt;$E85,R$5&lt;=$F85),IF(R$5=$E85+1,$C85,""),"")</f>
        <v/>
      </c>
      <c r="S85" s="34">
        <f>IF(AND(S$5&gt;$E85,S$5&lt;=$F85),IF(S$5=$E85+1,$C85,""),"")</f>
        <v/>
      </c>
      <c r="T85" s="34">
        <f>IF(AND(T$5&gt;$E85,T$5&lt;=$F85),IF(T$5=$E85+1,$C85,""),"")</f>
        <v/>
      </c>
      <c r="U85" s="34">
        <f>IF(AND(U$5&gt;$E85,U$5&lt;=$F85),IF(U$5=$E85+1,$C85,""),"")</f>
        <v/>
      </c>
      <c r="V85" s="34">
        <f>IF(AND(V$5&gt;$E85,V$5&lt;=$F85),IF(V$5=$E85+1,$C85,""),"")</f>
        <v/>
      </c>
      <c r="W85" s="34">
        <f>IF(AND(W$5&gt;$E85,W$5&lt;=$F85),IF(W$5=$E85+1,$C85,""),"")</f>
        <v/>
      </c>
      <c r="X85" s="34">
        <f>IF(AND(X$5&gt;$E85,X$5&lt;=$F85),IF(X$5=$E85+1,$C85,""),"")</f>
        <v/>
      </c>
      <c r="Y85" s="34">
        <f>IF(AND(Y$5&gt;$E85,Y$5&lt;=$F85),IF(Y$5=$E85+1,$C85,""),"")</f>
        <v/>
      </c>
      <c r="Z85" s="34">
        <f>IF(AND(Z$5&gt;$E85,Z$5&lt;=$F85),IF(Z$5=$E85+1,$C85,""),"")</f>
        <v/>
      </c>
      <c r="AA85" s="34">
        <f>IF(AND(AA$5&gt;$E85,AA$5&lt;=$F85),IF(AA$5=$E85+1,$C85,""),"")</f>
        <v/>
      </c>
      <c r="AB85" s="34">
        <f>IF(AND(AB$5&gt;$E85,AB$5&lt;=$F85),IF(AB$5=$E85+1,$C85,""),"")</f>
        <v/>
      </c>
      <c r="AC85" s="34">
        <f>IF(AND(AC$5&gt;$E85,AC$5&lt;=$F85),IF(AC$5=$E85+1,$C85,""),"")</f>
        <v/>
      </c>
      <c r="AD85" s="34">
        <f>IF(AND(AD$5&gt;$E85,AD$5&lt;=$F85),IF(AD$5=$E85+1,$C85,""),"")</f>
        <v/>
      </c>
      <c r="AE85" s="34">
        <f>IF(AND(AE$5&gt;$E85,AE$5&lt;=$F85),IF(AE$5=$E85+1,$C85,""),"")</f>
        <v/>
      </c>
      <c r="AF85" s="34">
        <f>IF(AND(AF$5&gt;$E85,AF$5&lt;=$F85),IF(AF$5=$E85+1,$C85,""),"")</f>
        <v/>
      </c>
      <c r="AG85" s="34">
        <f>IF(AND(AG$5&gt;$E85,AG$5&lt;=$F85),IF(AG$5=$E85+1,$C85,""),"")</f>
        <v/>
      </c>
      <c r="AH85" s="34">
        <f>IF(AND(AH$5&gt;$E85,AH$5&lt;=$F85),IF(AH$5=$E85+1,$C85,""),"")</f>
        <v/>
      </c>
      <c r="AI85" s="34">
        <f>IF(AND(AI$5&gt;$E85,AI$5&lt;=$F85),IF(AI$5=$E85+1,$C85,""),"")</f>
        <v/>
      </c>
      <c r="AJ85" s="34">
        <f>IF(AND(AJ$5&gt;$E85,AJ$5&lt;=$F85),IF(AJ$5=$E85+1,$C85,""),"")</f>
        <v/>
      </c>
      <c r="AK85" s="34">
        <f>IF(AND(AK$5&gt;$E85,AK$5&lt;=$F85),IF(AK$5=$E85+1,$C85,""),"")</f>
        <v/>
      </c>
      <c r="AL85" s="34">
        <f>IF(AND(AL$5&gt;$E85,AL$5&lt;=$F85),IF(AL$5=$E85+1,$C85,""),"")</f>
        <v/>
      </c>
      <c r="AM85" s="34">
        <f>IF(AND(AM$5&gt;$E85,AM$5&lt;=$F85),IF(AM$5=$E85+1,$C85,""),"")</f>
        <v/>
      </c>
      <c r="AN85" s="34">
        <f>IF(AND(AN$5&gt;$E85,AN$5&lt;=$F85),IF(AN$5=$E85+1,$C85,""),"")</f>
        <v/>
      </c>
      <c r="AO85" s="34">
        <f>IF(AND(AO$5&gt;$E85,AO$5&lt;=$F85),IF(AO$5=$E85+1,$C85,""),"")</f>
        <v/>
      </c>
      <c r="AP85" s="34">
        <f>IF(AND(AP$5&gt;$E85,AP$5&lt;=$F85),IF(AP$5=$E85+1,$C85,""),"")</f>
        <v/>
      </c>
      <c r="AQ85" s="34">
        <f>IF(AND(AQ$5&gt;$E85,AQ$5&lt;=$F85),IF(AQ$5=$E85+1,$C85,""),"")</f>
        <v/>
      </c>
      <c r="AR85" s="34">
        <f>IF(AND(AR$5&gt;$E85,AR$5&lt;=$F85),IF(AR$5=$E85+1,$C85,""),"")</f>
        <v/>
      </c>
      <c r="AS85" s="34">
        <f>IF(AND(AS$5&gt;$E85,AS$5&lt;=$F85),IF(AS$5=$E85+1,$C85,""),"")</f>
        <v/>
      </c>
      <c r="AT85" s="34">
        <f>IF(AND(AT$5&gt;$E85,AT$5&lt;=$F85),IF(AT$5=$E85+1,$C85,""),"")</f>
        <v/>
      </c>
      <c r="AU85" s="34">
        <f>IF(AND(AU$5&gt;$E85,AU$5&lt;=$F85),IF(AU$5=$E85+1,$C85,""),"")</f>
        <v/>
      </c>
      <c r="AV85" s="34">
        <f>IF(AND(AV$5&gt;$E85,AV$5&lt;=$F85),IF(AV$5=$E85+1,$C85,""),"")</f>
        <v/>
      </c>
      <c r="AW85" s="34">
        <f>IF(AND(AW$5&gt;$E85,AW$5&lt;=$F85),IF(AW$5=$E85+1,$C85,""),"")</f>
        <v/>
      </c>
      <c r="AX85" s="34">
        <f>IF(AND(AX$5&gt;$E85,AX$5&lt;=$F85),IF(AX$5=$E85+1,$C85,""),"")</f>
        <v/>
      </c>
      <c r="AY85" s="34">
        <f>IF(AND(AY$5&gt;$E85,AY$5&lt;=$F85),IF(AY$5=$E85+1,$C85,""),"")</f>
        <v/>
      </c>
      <c r="AZ85" s="34">
        <f>IF(AND(AZ$5&gt;$E85,AZ$5&lt;=$F85),IF(AZ$5=$E85+1,$C85,""),"")</f>
        <v/>
      </c>
      <c r="BA85" s="34">
        <f>IF(AND(BA$5&gt;$E85,BA$5&lt;=$F85),IF(BA$5=$E85+1,$C85,""),"")</f>
        <v/>
      </c>
      <c r="BB85" s="34">
        <f>IF(AND(BB$5&gt;$E85,BB$5&lt;=$F85),IF(BB$5=$E85+1,$C85,""),"")</f>
        <v/>
      </c>
      <c r="BC85" s="34">
        <f>IF(AND(BC$5&gt;$E85,BC$5&lt;=$F85),IF(BC$5=$E85+1,$C85,""),"")</f>
        <v/>
      </c>
      <c r="BD85" s="34">
        <f>IF(AND(BD$5&gt;$E85,BD$5&lt;=$F85),IF(BD$5=$E85+1,$C85,""),"")</f>
        <v/>
      </c>
      <c r="BE85" s="34">
        <f>IF(AND(BE$5&gt;$E85,BE$5&lt;=$F85),IF(BE$5=$E85+1,$C85,""),"")</f>
        <v/>
      </c>
      <c r="BF85" s="34">
        <f>IF(AND(BF$5&gt;$E85,BF$5&lt;=$F85),IF(BF$5=$E85+1,$C85,""),"")</f>
        <v/>
      </c>
      <c r="BG85" s="34">
        <f>IF(AND(BG$5&gt;$E85,BG$5&lt;=$F85),IF(BG$5=$E85+1,$C85,""),"")</f>
        <v/>
      </c>
      <c r="BH85" s="34">
        <f>IF(AND(BH$5&gt;$E85,BH$5&lt;=$F85),IF(BH$5=$E85+1,$C85,""),"")</f>
        <v/>
      </c>
      <c r="BI85" s="34">
        <f>IF(AND(BI$5&gt;$E85,BI$5&lt;=$F85),IF(BI$5=$E85+1,$C85,""),"")</f>
        <v/>
      </c>
      <c r="BJ85" s="34">
        <f>IF(AND(BJ$5&gt;$E85,BJ$5&lt;=$F85),IF(BJ$5=$E85+1,$C85,""),"")</f>
        <v/>
      </c>
      <c r="BK85" s="34">
        <f>IF(AND(BK$5&gt;$E85,BK$5&lt;=$F85),IF(BK$5=$E85+1,$C85,""),"")</f>
        <v/>
      </c>
      <c r="BL85" s="34">
        <f>IF(AND(BL$5&gt;$E85,BL$5&lt;=$F85),IF(BL$5=$E85+1,$C85,""),"")</f>
        <v/>
      </c>
      <c r="BM85" s="34">
        <f>IF(AND(BM$5&gt;$E85,BM$5&lt;=$F85),IF(BM$5=$E85+1,$C85,""),"")</f>
        <v/>
      </c>
      <c r="BN85" s="34">
        <f>IF(AND(BN$5&gt;$E85,BN$5&lt;=$F85),IF(BN$5=$E85+1,$C85,""),"")</f>
        <v/>
      </c>
      <c r="BO85" s="34">
        <f>IF(AND(BO$5&gt;$E85,BO$5&lt;=$F85),IF(BO$5=$E85+1,$C85,""),"")</f>
        <v/>
      </c>
      <c r="BP85" s="34">
        <f>IF(AND(BP$5&gt;$E85,BP$5&lt;=$F85),IF(BP$5=$E85+1,$C85,""),"")</f>
        <v/>
      </c>
      <c r="BQ85" s="34">
        <f>IF(AND(BQ$5&gt;$E85,BQ$5&lt;=$F85),IF(BQ$5=$E85+1,$C85,""),"")</f>
        <v/>
      </c>
      <c r="BR85" s="34">
        <f>IF(AND(BR$5&gt;$E85,BR$5&lt;=$F85),IF(BR$5=$E85+1,$C85,""),"")</f>
        <v/>
      </c>
      <c r="BS85" s="34">
        <f>IF(AND(BS$5&gt;$E85,BS$5&lt;=$F85),IF(BS$5=$E85+1,$C85,""),"")</f>
        <v/>
      </c>
      <c r="BT85" s="34">
        <f>IF(AND(BT$5&gt;$E85,BT$5&lt;=$F85),IF(BT$5=$E85+1,$C85,""),"")</f>
        <v/>
      </c>
      <c r="BU85" s="34">
        <f>IF(AND(BU$5&gt;$E85,BU$5&lt;=$F85),IF(BU$5=$E85+1,$C85,""),"")</f>
        <v/>
      </c>
      <c r="BV85" s="34">
        <f>IF(AND(BV$5&gt;$E85,BV$5&lt;=$F85),IF(BV$5=$E85+1,$C85,""),"")</f>
        <v/>
      </c>
      <c r="BW85" s="34">
        <f>IF(AND(BW$5&gt;$E85,BW$5&lt;=$F85),IF(BW$5=$E85+1,$C85,""),"")</f>
        <v/>
      </c>
      <c r="BX85" s="34">
        <f>IF(AND(BX$5&gt;$E85,BX$5&lt;=$F85),IF(BX$5=$E85+1,$C85,""),"")</f>
        <v/>
      </c>
      <c r="BY85" s="34">
        <f>IF(AND(BY$5&gt;$E85,BY$5&lt;=$F85),IF(BY$5=$E85+1,$C85,""),"")</f>
        <v/>
      </c>
      <c r="BZ85" s="34">
        <f>IF(AND(BZ$5&gt;$E85,BZ$5&lt;=$F85),IF(BZ$5=$E85+1,$C85,""),"")</f>
        <v/>
      </c>
      <c r="CA85" s="34">
        <f>IF(AND(CA$5&gt;$E85,CA$5&lt;=$F85),IF(CA$5=$E85+1,$C85,""),"")</f>
        <v/>
      </c>
      <c r="CB85" s="34">
        <f>IF(AND(CB$5&gt;$E85,CB$5&lt;=$F85),IF(CB$5=$E85+1,$C85,""),"")</f>
        <v/>
      </c>
      <c r="CC85" s="34">
        <f>IF(AND(CC$5&gt;$E85,CC$5&lt;=$F85),IF(CC$5=$E85+1,$C85,""),"")</f>
        <v/>
      </c>
      <c r="CD85" s="34">
        <f>IF(AND(CD$5&gt;$E85,CD$5&lt;=$F85),IF(CD$5=$E85+1,$C85,""),"")</f>
        <v/>
      </c>
      <c r="CE85" s="34">
        <f>IF(AND(CE$5&gt;$E85,CE$5&lt;=$F85),IF(CE$5=$E85+1,$C85,""),"")</f>
        <v/>
      </c>
      <c r="CF85" s="34">
        <f>IF(AND(CF$5&gt;$E85,CF$5&lt;=$F85),IF(CF$5=$E85+1,$C85,""),"")</f>
        <v/>
      </c>
      <c r="CG85" s="34">
        <f>IF(AND(CG$5&gt;$E85,CG$5&lt;=$F85),IF(CG$5=$E85+1,$C85,""),"")</f>
        <v/>
      </c>
      <c r="CH85" s="34">
        <f>IF(AND(CH$5&gt;$E85,CH$5&lt;=$F85),IF(CH$5=$E85+1,$C85,""),"")</f>
        <v/>
      </c>
      <c r="CI85" s="34">
        <f>IF(AND(CI$5&gt;$E85,CI$5&lt;=$F85),IF(CI$5=$E85+1,$C85,""),"")</f>
        <v/>
      </c>
      <c r="CJ85" s="34">
        <f>IF(AND(CJ$5&gt;$E85,CJ$5&lt;=$F85),IF(CJ$5=$E85+1,$C85,""),"")</f>
        <v/>
      </c>
      <c r="CK85" s="34">
        <f>IF(AND(CK$5&gt;$E85,CK$5&lt;=$F85),IF(CK$5=$E85+1,$C85,""),"")</f>
        <v/>
      </c>
      <c r="CL85" s="34">
        <f>IF(AND(CL$5&gt;$E85,CL$5&lt;=$F85),IF(CL$5=$E85+1,$C85,""),"")</f>
        <v/>
      </c>
      <c r="CM85" s="34">
        <f>IF(AND(CM$5&gt;$E85,CM$5&lt;=$F85),IF(CM$5=$E85+1,$C85,""),"")</f>
        <v/>
      </c>
      <c r="CN85" s="34">
        <f>IF(AND(CN$5&gt;$E85,CN$5&lt;=$F85),IF(CN$5=$E85+1,$C85,""),"")</f>
        <v/>
      </c>
      <c r="CO85" s="34">
        <f>IF(AND(CO$5&gt;$E85,CO$5&lt;=$F85),IF(CO$5=$E85+1,$C85,""),"")</f>
        <v/>
      </c>
      <c r="CP85" s="34">
        <f>IF(AND(CP$5&gt;$E85,CP$5&lt;=$F85),IF(CP$5=$E85+1,$C85,""),"")</f>
        <v/>
      </c>
      <c r="CQ85" s="34">
        <f>IF(AND(CQ$5&gt;$E85,CQ$5&lt;=$F85),IF(CQ$5=$E85+1,$C85,""),"")</f>
        <v/>
      </c>
      <c r="CR85" s="34">
        <f>IF(AND(CR$5&gt;$E85,CR$5&lt;=$F85),IF(CR$5=$E85+1,$C85,""),"")</f>
        <v/>
      </c>
      <c r="CS85" s="34">
        <f>IF(AND(CS$5&gt;$E85,CS$5&lt;=$F85),IF(CS$5=$E85+1,$C85,""),"")</f>
        <v/>
      </c>
    </row>
    <row r="86">
      <c r="A86" s="32">
        <f>Plan!A76</f>
        <v/>
      </c>
      <c r="B86" s="33">
        <f>Plan!C76</f>
        <v/>
      </c>
      <c r="C86" s="16">
        <f>Plan!D76</f>
        <v/>
      </c>
      <c r="D86" s="16">
        <f>Plan!I76</f>
        <v/>
      </c>
      <c r="E86" s="16">
        <f>Plan!K76</f>
        <v/>
      </c>
      <c r="F86" s="16">
        <f>Plan!L76</f>
        <v/>
      </c>
      <c r="G86" s="16">
        <f>Plan!O76</f>
        <v/>
      </c>
      <c r="H86" s="34">
        <f>IF(AND(H$5&gt;$E86,H$5&lt;=$F86),IF(H$5=$E86+1,$C86,""),"")</f>
        <v/>
      </c>
      <c r="I86" s="34">
        <f>IF(AND(I$5&gt;$E86,I$5&lt;=$F86),IF(I$5=$E86+1,$C86,""),"")</f>
        <v/>
      </c>
      <c r="J86" s="34">
        <f>IF(AND(J$5&gt;$E86,J$5&lt;=$F86),IF(J$5=$E86+1,$C86,""),"")</f>
        <v/>
      </c>
      <c r="K86" s="34">
        <f>IF(AND(K$5&gt;$E86,K$5&lt;=$F86),IF(K$5=$E86+1,$C86,""),"")</f>
        <v/>
      </c>
      <c r="L86" s="34">
        <f>IF(AND(L$5&gt;$E86,L$5&lt;=$F86),IF(L$5=$E86+1,$C86,""),"")</f>
        <v/>
      </c>
      <c r="M86" s="34">
        <f>IF(AND(M$5&gt;$E86,M$5&lt;=$F86),IF(M$5=$E86+1,$C86,""),"")</f>
        <v/>
      </c>
      <c r="N86" s="34">
        <f>IF(AND(N$5&gt;$E86,N$5&lt;=$F86),IF(N$5=$E86+1,$C86,""),"")</f>
        <v/>
      </c>
      <c r="O86" s="34">
        <f>IF(AND(O$5&gt;$E86,O$5&lt;=$F86),IF(O$5=$E86+1,$C86,""),"")</f>
        <v/>
      </c>
      <c r="P86" s="34">
        <f>IF(AND(P$5&gt;$E86,P$5&lt;=$F86),IF(P$5=$E86+1,$C86,""),"")</f>
        <v/>
      </c>
      <c r="Q86" s="34">
        <f>IF(AND(Q$5&gt;$E86,Q$5&lt;=$F86),IF(Q$5=$E86+1,$C86,""),"")</f>
        <v/>
      </c>
      <c r="R86" s="34">
        <f>IF(AND(R$5&gt;$E86,R$5&lt;=$F86),IF(R$5=$E86+1,$C86,""),"")</f>
        <v/>
      </c>
      <c r="S86" s="34">
        <f>IF(AND(S$5&gt;$E86,S$5&lt;=$F86),IF(S$5=$E86+1,$C86,""),"")</f>
        <v/>
      </c>
      <c r="T86" s="34">
        <f>IF(AND(T$5&gt;$E86,T$5&lt;=$F86),IF(T$5=$E86+1,$C86,""),"")</f>
        <v/>
      </c>
      <c r="U86" s="34">
        <f>IF(AND(U$5&gt;$E86,U$5&lt;=$F86),IF(U$5=$E86+1,$C86,""),"")</f>
        <v/>
      </c>
      <c r="V86" s="34">
        <f>IF(AND(V$5&gt;$E86,V$5&lt;=$F86),IF(V$5=$E86+1,$C86,""),"")</f>
        <v/>
      </c>
      <c r="W86" s="34">
        <f>IF(AND(W$5&gt;$E86,W$5&lt;=$F86),IF(W$5=$E86+1,$C86,""),"")</f>
        <v/>
      </c>
      <c r="X86" s="34">
        <f>IF(AND(X$5&gt;$E86,X$5&lt;=$F86),IF(X$5=$E86+1,$C86,""),"")</f>
        <v/>
      </c>
      <c r="Y86" s="34">
        <f>IF(AND(Y$5&gt;$E86,Y$5&lt;=$F86),IF(Y$5=$E86+1,$C86,""),"")</f>
        <v/>
      </c>
      <c r="Z86" s="34">
        <f>IF(AND(Z$5&gt;$E86,Z$5&lt;=$F86),IF(Z$5=$E86+1,$C86,""),"")</f>
        <v/>
      </c>
      <c r="AA86" s="34">
        <f>IF(AND(AA$5&gt;$E86,AA$5&lt;=$F86),IF(AA$5=$E86+1,$C86,""),"")</f>
        <v/>
      </c>
      <c r="AB86" s="34">
        <f>IF(AND(AB$5&gt;$E86,AB$5&lt;=$F86),IF(AB$5=$E86+1,$C86,""),"")</f>
        <v/>
      </c>
      <c r="AC86" s="34">
        <f>IF(AND(AC$5&gt;$E86,AC$5&lt;=$F86),IF(AC$5=$E86+1,$C86,""),"")</f>
        <v/>
      </c>
      <c r="AD86" s="34">
        <f>IF(AND(AD$5&gt;$E86,AD$5&lt;=$F86),IF(AD$5=$E86+1,$C86,""),"")</f>
        <v/>
      </c>
      <c r="AE86" s="34">
        <f>IF(AND(AE$5&gt;$E86,AE$5&lt;=$F86),IF(AE$5=$E86+1,$C86,""),"")</f>
        <v/>
      </c>
      <c r="AF86" s="34">
        <f>IF(AND(AF$5&gt;$E86,AF$5&lt;=$F86),IF(AF$5=$E86+1,$C86,""),"")</f>
        <v/>
      </c>
      <c r="AG86" s="34">
        <f>IF(AND(AG$5&gt;$E86,AG$5&lt;=$F86),IF(AG$5=$E86+1,$C86,""),"")</f>
        <v/>
      </c>
      <c r="AH86" s="34">
        <f>IF(AND(AH$5&gt;$E86,AH$5&lt;=$F86),IF(AH$5=$E86+1,$C86,""),"")</f>
        <v/>
      </c>
      <c r="AI86" s="34">
        <f>IF(AND(AI$5&gt;$E86,AI$5&lt;=$F86),IF(AI$5=$E86+1,$C86,""),"")</f>
        <v/>
      </c>
      <c r="AJ86" s="34">
        <f>IF(AND(AJ$5&gt;$E86,AJ$5&lt;=$F86),IF(AJ$5=$E86+1,$C86,""),"")</f>
        <v/>
      </c>
      <c r="AK86" s="34">
        <f>IF(AND(AK$5&gt;$E86,AK$5&lt;=$F86),IF(AK$5=$E86+1,$C86,""),"")</f>
        <v/>
      </c>
      <c r="AL86" s="34">
        <f>IF(AND(AL$5&gt;$E86,AL$5&lt;=$F86),IF(AL$5=$E86+1,$C86,""),"")</f>
        <v/>
      </c>
      <c r="AM86" s="34">
        <f>IF(AND(AM$5&gt;$E86,AM$5&lt;=$F86),IF(AM$5=$E86+1,$C86,""),"")</f>
        <v/>
      </c>
      <c r="AN86" s="34">
        <f>IF(AND(AN$5&gt;$E86,AN$5&lt;=$F86),IF(AN$5=$E86+1,$C86,""),"")</f>
        <v/>
      </c>
      <c r="AO86" s="34">
        <f>IF(AND(AO$5&gt;$E86,AO$5&lt;=$F86),IF(AO$5=$E86+1,$C86,""),"")</f>
        <v/>
      </c>
      <c r="AP86" s="34">
        <f>IF(AND(AP$5&gt;$E86,AP$5&lt;=$F86),IF(AP$5=$E86+1,$C86,""),"")</f>
        <v/>
      </c>
      <c r="AQ86" s="34">
        <f>IF(AND(AQ$5&gt;$E86,AQ$5&lt;=$F86),IF(AQ$5=$E86+1,$C86,""),"")</f>
        <v/>
      </c>
      <c r="AR86" s="34">
        <f>IF(AND(AR$5&gt;$E86,AR$5&lt;=$F86),IF(AR$5=$E86+1,$C86,""),"")</f>
        <v/>
      </c>
      <c r="AS86" s="34">
        <f>IF(AND(AS$5&gt;$E86,AS$5&lt;=$F86),IF(AS$5=$E86+1,$C86,""),"")</f>
        <v/>
      </c>
      <c r="AT86" s="34">
        <f>IF(AND(AT$5&gt;$E86,AT$5&lt;=$F86),IF(AT$5=$E86+1,$C86,""),"")</f>
        <v/>
      </c>
      <c r="AU86" s="34">
        <f>IF(AND(AU$5&gt;$E86,AU$5&lt;=$F86),IF(AU$5=$E86+1,$C86,""),"")</f>
        <v/>
      </c>
      <c r="AV86" s="34">
        <f>IF(AND(AV$5&gt;$E86,AV$5&lt;=$F86),IF(AV$5=$E86+1,$C86,""),"")</f>
        <v/>
      </c>
      <c r="AW86" s="34">
        <f>IF(AND(AW$5&gt;$E86,AW$5&lt;=$F86),IF(AW$5=$E86+1,$C86,""),"")</f>
        <v/>
      </c>
      <c r="AX86" s="34">
        <f>IF(AND(AX$5&gt;$E86,AX$5&lt;=$F86),IF(AX$5=$E86+1,$C86,""),"")</f>
        <v/>
      </c>
      <c r="AY86" s="34">
        <f>IF(AND(AY$5&gt;$E86,AY$5&lt;=$F86),IF(AY$5=$E86+1,$C86,""),"")</f>
        <v/>
      </c>
      <c r="AZ86" s="34">
        <f>IF(AND(AZ$5&gt;$E86,AZ$5&lt;=$F86),IF(AZ$5=$E86+1,$C86,""),"")</f>
        <v/>
      </c>
      <c r="BA86" s="34">
        <f>IF(AND(BA$5&gt;$E86,BA$5&lt;=$F86),IF(BA$5=$E86+1,$C86,""),"")</f>
        <v/>
      </c>
      <c r="BB86" s="34">
        <f>IF(AND(BB$5&gt;$E86,BB$5&lt;=$F86),IF(BB$5=$E86+1,$C86,""),"")</f>
        <v/>
      </c>
      <c r="BC86" s="34">
        <f>IF(AND(BC$5&gt;$E86,BC$5&lt;=$F86),IF(BC$5=$E86+1,$C86,""),"")</f>
        <v/>
      </c>
      <c r="BD86" s="34">
        <f>IF(AND(BD$5&gt;$E86,BD$5&lt;=$F86),IF(BD$5=$E86+1,$C86,""),"")</f>
        <v/>
      </c>
      <c r="BE86" s="34">
        <f>IF(AND(BE$5&gt;$E86,BE$5&lt;=$F86),IF(BE$5=$E86+1,$C86,""),"")</f>
        <v/>
      </c>
      <c r="BF86" s="34">
        <f>IF(AND(BF$5&gt;$E86,BF$5&lt;=$F86),IF(BF$5=$E86+1,$C86,""),"")</f>
        <v/>
      </c>
      <c r="BG86" s="34">
        <f>IF(AND(BG$5&gt;$E86,BG$5&lt;=$F86),IF(BG$5=$E86+1,$C86,""),"")</f>
        <v/>
      </c>
      <c r="BH86" s="34">
        <f>IF(AND(BH$5&gt;$E86,BH$5&lt;=$F86),IF(BH$5=$E86+1,$C86,""),"")</f>
        <v/>
      </c>
      <c r="BI86" s="34">
        <f>IF(AND(BI$5&gt;$E86,BI$5&lt;=$F86),IF(BI$5=$E86+1,$C86,""),"")</f>
        <v/>
      </c>
      <c r="BJ86" s="34">
        <f>IF(AND(BJ$5&gt;$E86,BJ$5&lt;=$F86),IF(BJ$5=$E86+1,$C86,""),"")</f>
        <v/>
      </c>
      <c r="BK86" s="34">
        <f>IF(AND(BK$5&gt;$E86,BK$5&lt;=$F86),IF(BK$5=$E86+1,$C86,""),"")</f>
        <v/>
      </c>
      <c r="BL86" s="34">
        <f>IF(AND(BL$5&gt;$E86,BL$5&lt;=$F86),IF(BL$5=$E86+1,$C86,""),"")</f>
        <v/>
      </c>
      <c r="BM86" s="34">
        <f>IF(AND(BM$5&gt;$E86,BM$5&lt;=$F86),IF(BM$5=$E86+1,$C86,""),"")</f>
        <v/>
      </c>
      <c r="BN86" s="34">
        <f>IF(AND(BN$5&gt;$E86,BN$5&lt;=$F86),IF(BN$5=$E86+1,$C86,""),"")</f>
        <v/>
      </c>
      <c r="BO86" s="34">
        <f>IF(AND(BO$5&gt;$E86,BO$5&lt;=$F86),IF(BO$5=$E86+1,$C86,""),"")</f>
        <v/>
      </c>
      <c r="BP86" s="34">
        <f>IF(AND(BP$5&gt;$E86,BP$5&lt;=$F86),IF(BP$5=$E86+1,$C86,""),"")</f>
        <v/>
      </c>
      <c r="BQ86" s="34">
        <f>IF(AND(BQ$5&gt;$E86,BQ$5&lt;=$F86),IF(BQ$5=$E86+1,$C86,""),"")</f>
        <v/>
      </c>
      <c r="BR86" s="34">
        <f>IF(AND(BR$5&gt;$E86,BR$5&lt;=$F86),IF(BR$5=$E86+1,$C86,""),"")</f>
        <v/>
      </c>
      <c r="BS86" s="34">
        <f>IF(AND(BS$5&gt;$E86,BS$5&lt;=$F86),IF(BS$5=$E86+1,$C86,""),"")</f>
        <v/>
      </c>
      <c r="BT86" s="34">
        <f>IF(AND(BT$5&gt;$E86,BT$5&lt;=$F86),IF(BT$5=$E86+1,$C86,""),"")</f>
        <v/>
      </c>
      <c r="BU86" s="34">
        <f>IF(AND(BU$5&gt;$E86,BU$5&lt;=$F86),IF(BU$5=$E86+1,$C86,""),"")</f>
        <v/>
      </c>
      <c r="BV86" s="34">
        <f>IF(AND(BV$5&gt;$E86,BV$5&lt;=$F86),IF(BV$5=$E86+1,$C86,""),"")</f>
        <v/>
      </c>
      <c r="BW86" s="34">
        <f>IF(AND(BW$5&gt;$E86,BW$5&lt;=$F86),IF(BW$5=$E86+1,$C86,""),"")</f>
        <v/>
      </c>
      <c r="BX86" s="34">
        <f>IF(AND(BX$5&gt;$E86,BX$5&lt;=$F86),IF(BX$5=$E86+1,$C86,""),"")</f>
        <v/>
      </c>
      <c r="BY86" s="34">
        <f>IF(AND(BY$5&gt;$E86,BY$5&lt;=$F86),IF(BY$5=$E86+1,$C86,""),"")</f>
        <v/>
      </c>
      <c r="BZ86" s="34">
        <f>IF(AND(BZ$5&gt;$E86,BZ$5&lt;=$F86),IF(BZ$5=$E86+1,$C86,""),"")</f>
        <v/>
      </c>
      <c r="CA86" s="34">
        <f>IF(AND(CA$5&gt;$E86,CA$5&lt;=$F86),IF(CA$5=$E86+1,$C86,""),"")</f>
        <v/>
      </c>
      <c r="CB86" s="34">
        <f>IF(AND(CB$5&gt;$E86,CB$5&lt;=$F86),IF(CB$5=$E86+1,$C86,""),"")</f>
        <v/>
      </c>
      <c r="CC86" s="34">
        <f>IF(AND(CC$5&gt;$E86,CC$5&lt;=$F86),IF(CC$5=$E86+1,$C86,""),"")</f>
        <v/>
      </c>
      <c r="CD86" s="34">
        <f>IF(AND(CD$5&gt;$E86,CD$5&lt;=$F86),IF(CD$5=$E86+1,$C86,""),"")</f>
        <v/>
      </c>
      <c r="CE86" s="34">
        <f>IF(AND(CE$5&gt;$E86,CE$5&lt;=$F86),IF(CE$5=$E86+1,$C86,""),"")</f>
        <v/>
      </c>
      <c r="CF86" s="34">
        <f>IF(AND(CF$5&gt;$E86,CF$5&lt;=$F86),IF(CF$5=$E86+1,$C86,""),"")</f>
        <v/>
      </c>
      <c r="CG86" s="34">
        <f>IF(AND(CG$5&gt;$E86,CG$5&lt;=$F86),IF(CG$5=$E86+1,$C86,""),"")</f>
        <v/>
      </c>
      <c r="CH86" s="34">
        <f>IF(AND(CH$5&gt;$E86,CH$5&lt;=$F86),IF(CH$5=$E86+1,$C86,""),"")</f>
        <v/>
      </c>
      <c r="CI86" s="34">
        <f>IF(AND(CI$5&gt;$E86,CI$5&lt;=$F86),IF(CI$5=$E86+1,$C86,""),"")</f>
        <v/>
      </c>
      <c r="CJ86" s="34">
        <f>IF(AND(CJ$5&gt;$E86,CJ$5&lt;=$F86),IF(CJ$5=$E86+1,$C86,""),"")</f>
        <v/>
      </c>
      <c r="CK86" s="34">
        <f>IF(AND(CK$5&gt;$E86,CK$5&lt;=$F86),IF(CK$5=$E86+1,$C86,""),"")</f>
        <v/>
      </c>
      <c r="CL86" s="34">
        <f>IF(AND(CL$5&gt;$E86,CL$5&lt;=$F86),IF(CL$5=$E86+1,$C86,""),"")</f>
        <v/>
      </c>
      <c r="CM86" s="34">
        <f>IF(AND(CM$5&gt;$E86,CM$5&lt;=$F86),IF(CM$5=$E86+1,$C86,""),"")</f>
        <v/>
      </c>
      <c r="CN86" s="34">
        <f>IF(AND(CN$5&gt;$E86,CN$5&lt;=$F86),IF(CN$5=$E86+1,$C86,""),"")</f>
        <v/>
      </c>
      <c r="CO86" s="34">
        <f>IF(AND(CO$5&gt;$E86,CO$5&lt;=$F86),IF(CO$5=$E86+1,$C86,""),"")</f>
        <v/>
      </c>
      <c r="CP86" s="34">
        <f>IF(AND(CP$5&gt;$E86,CP$5&lt;=$F86),IF(CP$5=$E86+1,$C86,""),"")</f>
        <v/>
      </c>
      <c r="CQ86" s="34">
        <f>IF(AND(CQ$5&gt;$E86,CQ$5&lt;=$F86),IF(CQ$5=$E86+1,$C86,""),"")</f>
        <v/>
      </c>
      <c r="CR86" s="34">
        <f>IF(AND(CR$5&gt;$E86,CR$5&lt;=$F86),IF(CR$5=$E86+1,$C86,""),"")</f>
        <v/>
      </c>
      <c r="CS86" s="34">
        <f>IF(AND(CS$5&gt;$E86,CS$5&lt;=$F86),IF(CS$5=$E86+1,$C86,""),"")</f>
        <v/>
      </c>
    </row>
  </sheetData>
  <mergeCells count="17">
    <mergeCell ref="A9:D9"/>
    <mergeCell ref="A18:D18"/>
    <mergeCell ref="A56:D56"/>
    <mergeCell ref="A67:D67"/>
    <mergeCell ref="R4:AA4"/>
    <mergeCell ref="H4:Q4"/>
    <mergeCell ref="A34:D34"/>
    <mergeCell ref="A6:G6"/>
    <mergeCell ref="AB4:AK4"/>
    <mergeCell ref="AV4:BE4"/>
    <mergeCell ref="BZ4:CI4"/>
    <mergeCell ref="A7:G7"/>
    <mergeCell ref="BP4:BY4"/>
    <mergeCell ref="AL4:AU4"/>
    <mergeCell ref="BF4:BO4"/>
    <mergeCell ref="CJ4:CS4"/>
    <mergeCell ref="A44:D44"/>
  </mergeCells>
  <conditionalFormatting sqref="H6:CS6">
    <cfRule type="expression" priority="1" dxfId="9">
      <formula>H6&lt;&gt;""</formula>
    </cfRule>
  </conditionalFormatting>
  <conditionalFormatting sqref="H7:CS7">
    <cfRule type="expression" priority="2" dxfId="10">
      <formula>H7&lt;&gt;""</formula>
    </cfRule>
  </conditionalFormatting>
  <conditionalFormatting sqref="H9:CS9">
    <cfRule type="expression" priority="3" dxfId="11">
      <formula>AND(H$5&gt;$E9,H$5&lt;=$F9)</formula>
    </cfRule>
  </conditionalFormatting>
  <conditionalFormatting sqref="H18:CS18">
    <cfRule type="expression" priority="4" dxfId="11">
      <formula>AND(H$5&gt;$E18,H$5&lt;=$F18)</formula>
    </cfRule>
  </conditionalFormatting>
  <conditionalFormatting sqref="H34:CS34">
    <cfRule type="expression" priority="5" dxfId="11">
      <formula>AND(H$5&gt;$E34,H$5&lt;=$F34)</formula>
    </cfRule>
  </conditionalFormatting>
  <conditionalFormatting sqref="H44:CS44">
    <cfRule type="expression" priority="6" dxfId="11">
      <formula>AND(H$5&gt;$E44,H$5&lt;=$F44)</formula>
    </cfRule>
  </conditionalFormatting>
  <conditionalFormatting sqref="H56:CS56">
    <cfRule type="expression" priority="7" dxfId="11">
      <formula>AND(H$5&gt;$E56,H$5&lt;=$F56)</formula>
    </cfRule>
  </conditionalFormatting>
  <conditionalFormatting sqref="H67:CS67">
    <cfRule type="expression" priority="8" dxfId="11">
      <formula>AND(H$5&gt;$E67,H$5&lt;=$F67)</formula>
    </cfRule>
  </conditionalFormatting>
  <conditionalFormatting sqref="H9:CS86">
    <cfRule type="expression" priority="9" dxfId="12" stopIfTrue="1">
      <formula>AND(AND(H$5&gt;$E9,H$5&lt;=$F9,$A9&lt;&gt;""),$G9="Hecho")</formula>
    </cfRule>
    <cfRule type="expression" priority="10" dxfId="13" stopIfTrue="1">
      <formula>AND(AND(H$5&gt;$E9,H$5&lt;=$F9,$A9&lt;&gt;""),$G9="Bloqueado")</formula>
    </cfRule>
    <cfRule type="expression" priority="11" dxfId="14" stopIfTrue="1">
      <formula>AND(AND(H$5&gt;$E9,H$5&lt;=$F9,$A9&lt;&gt;""),$D9="A+B")</formula>
    </cfRule>
    <cfRule type="expression" priority="12" dxfId="9" stopIfTrue="1">
      <formula>AND(AND(H$5&gt;$E9,H$5&lt;=$F9,$A9&lt;&gt;""),$D9="A")</formula>
    </cfRule>
    <cfRule type="expression" priority="13" dxfId="10" stopIfTrue="1">
      <formula>AND(AND(H$5&gt;$E9,H$5&lt;=$F9,$A9&lt;&gt;""),$D9="B")</formula>
    </cfRule>
    <cfRule type="expression" priority="15" dxfId="15">
      <formula>H$5=Resumen!$C$6+1</formula>
    </cfRule>
  </conditionalFormatting>
  <conditionalFormatting sqref="H5:CS5">
    <cfRule type="expression" priority="14" dxfId="16">
      <formula>H$5=Resumen!$C$6+1</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83"/>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7" customWidth="1" min="2" max="2"/>
    <col width="52" customWidth="1" min="3" max="3"/>
    <col width="14" customWidth="1" min="4" max="4"/>
    <col width="11" customWidth="1" min="5" max="5"/>
    <col width="12" customWidth="1" min="6" max="6"/>
    <col width="9" customWidth="1" min="7" max="7"/>
    <col width="7" customWidth="1" min="8" max="8"/>
    <col width="11" customWidth="1" min="9" max="9"/>
  </cols>
  <sheetData>
    <row r="1">
      <c r="A1" s="1" t="inlineStr">
        <is>
          <t>Cola de trabajo — 2 filas, capacidad infinita</t>
        </is>
      </c>
    </row>
    <row r="2">
      <c r="A2" s="2" t="inlineStr">
        <is>
          <t>Cada actividad entra a la cola cuando terminan sus dependencias y sale cuando una fila queda libre. Si hay varias esperando, sale primero la de mayor ruta crítica restante.</t>
        </is>
      </c>
    </row>
    <row r="4" ht="42" customHeight="1">
      <c r="A4" s="14" t="inlineStr">
        <is>
          <t>Turno</t>
        </is>
      </c>
      <c r="B4" s="14" t="inlineStr">
        <is>
          <t>ID</t>
        </is>
      </c>
      <c r="C4" s="14" t="inlineStr">
        <is>
          <t>Actividad</t>
        </is>
      </c>
      <c r="D4" s="14" t="inlineStr">
        <is>
          <t>Prioridad (ruta crítica, bloques)</t>
        </is>
      </c>
      <c r="E4" s="14" t="inlineStr">
        <is>
          <t>Entra a la cola</t>
        </is>
      </c>
      <c r="F4" s="14" t="inlineStr">
        <is>
          <t>Sale de la cola (inicio)</t>
        </is>
      </c>
      <c r="G4" s="14" t="inlineStr">
        <is>
          <t>Espera</t>
        </is>
      </c>
      <c r="H4" s="14" t="inlineStr">
        <is>
          <t>Fila</t>
        </is>
      </c>
      <c r="I4" s="14" t="inlineStr">
        <is>
          <t>Estado</t>
        </is>
      </c>
    </row>
    <row r="5">
      <c r="A5" s="8" t="n">
        <v>1</v>
      </c>
      <c r="B5" s="18" t="inlineStr">
        <is>
          <t>1.1</t>
        </is>
      </c>
      <c r="C5" s="35">
        <f>Plan!C5</f>
        <v/>
      </c>
      <c r="D5" s="8" t="n">
        <v>36</v>
      </c>
      <c r="E5" s="16">
        <f>Plan!J5</f>
        <v/>
      </c>
      <c r="F5" s="16">
        <f>Plan!K5</f>
        <v/>
      </c>
      <c r="G5" s="8">
        <f>F5-E5</f>
        <v/>
      </c>
      <c r="H5" s="16">
        <f>Plan!I5</f>
        <v/>
      </c>
      <c r="I5" s="16">
        <f>Plan!O5</f>
        <v/>
      </c>
    </row>
    <row r="6">
      <c r="A6" s="8" t="n">
        <v>2</v>
      </c>
      <c r="B6" s="18" t="inlineStr">
        <is>
          <t>1.3</t>
        </is>
      </c>
      <c r="C6" s="35">
        <f>Plan!C7</f>
        <v/>
      </c>
      <c r="D6" s="8" t="n">
        <v>33</v>
      </c>
      <c r="E6" s="16">
        <f>Plan!J7</f>
        <v/>
      </c>
      <c r="F6" s="16">
        <f>Plan!K7</f>
        <v/>
      </c>
      <c r="G6" s="8">
        <f>F6-E6</f>
        <v/>
      </c>
      <c r="H6" s="16">
        <f>Plan!I7</f>
        <v/>
      </c>
      <c r="I6" s="16">
        <f>Plan!O7</f>
        <v/>
      </c>
    </row>
    <row r="7">
      <c r="A7" s="8" t="n">
        <v>3</v>
      </c>
      <c r="B7" s="18" t="inlineStr">
        <is>
          <t>1.2</t>
        </is>
      </c>
      <c r="C7" s="35">
        <f>Plan!C6</f>
        <v/>
      </c>
      <c r="D7" s="8" t="n">
        <v>27</v>
      </c>
      <c r="E7" s="16">
        <f>Plan!J6</f>
        <v/>
      </c>
      <c r="F7" s="16">
        <f>Plan!K6</f>
        <v/>
      </c>
      <c r="G7" s="8">
        <f>F7-E7</f>
        <v/>
      </c>
      <c r="H7" s="16">
        <f>Plan!I6</f>
        <v/>
      </c>
      <c r="I7" s="16">
        <f>Plan!O6</f>
        <v/>
      </c>
    </row>
    <row r="8">
      <c r="A8" s="8" t="n">
        <v>4</v>
      </c>
      <c r="B8" s="18" t="inlineStr">
        <is>
          <t>1.4</t>
        </is>
      </c>
      <c r="C8" s="35">
        <f>Plan!C8</f>
        <v/>
      </c>
      <c r="D8" s="8" t="n">
        <v>32</v>
      </c>
      <c r="E8" s="16">
        <f>Plan!J8</f>
        <v/>
      </c>
      <c r="F8" s="16">
        <f>Plan!K8</f>
        <v/>
      </c>
      <c r="G8" s="8">
        <f>F8-E8</f>
        <v/>
      </c>
      <c r="H8" s="16">
        <f>Plan!I8</f>
        <v/>
      </c>
      <c r="I8" s="16">
        <f>Plan!O8</f>
        <v/>
      </c>
    </row>
    <row r="9">
      <c r="A9" s="8" t="n">
        <v>5</v>
      </c>
      <c r="B9" s="18" t="inlineStr">
        <is>
          <t>2.4</t>
        </is>
      </c>
      <c r="C9" s="35">
        <f>Plan!C16</f>
        <v/>
      </c>
      <c r="D9" s="8" t="n">
        <v>15</v>
      </c>
      <c r="E9" s="16">
        <f>Plan!J16</f>
        <v/>
      </c>
      <c r="F9" s="16">
        <f>Plan!K16</f>
        <v/>
      </c>
      <c r="G9" s="8">
        <f>F9-E9</f>
        <v/>
      </c>
      <c r="H9" s="16">
        <f>Plan!I16</f>
        <v/>
      </c>
      <c r="I9" s="16">
        <f>Plan!O16</f>
        <v/>
      </c>
    </row>
    <row r="10">
      <c r="A10" s="8" t="n">
        <v>6</v>
      </c>
      <c r="B10" s="18" t="inlineStr">
        <is>
          <t>2.2</t>
        </is>
      </c>
      <c r="C10" s="35">
        <f>Plan!C14</f>
        <v/>
      </c>
      <c r="D10" s="8" t="n">
        <v>30</v>
      </c>
      <c r="E10" s="16">
        <f>Plan!J14</f>
        <v/>
      </c>
      <c r="F10" s="16">
        <f>Plan!K14</f>
        <v/>
      </c>
      <c r="G10" s="8">
        <f>F10-E10</f>
        <v/>
      </c>
      <c r="H10" s="16">
        <f>Plan!I14</f>
        <v/>
      </c>
      <c r="I10" s="16">
        <f>Plan!O14</f>
        <v/>
      </c>
    </row>
    <row r="11">
      <c r="A11" s="8" t="n">
        <v>7</v>
      </c>
      <c r="B11" s="18" t="inlineStr">
        <is>
          <t>3.4</t>
        </is>
      </c>
      <c r="C11" s="35">
        <f>Plan!C31</f>
        <v/>
      </c>
      <c r="D11" s="8" t="n">
        <v>19</v>
      </c>
      <c r="E11" s="16">
        <f>Plan!J31</f>
        <v/>
      </c>
      <c r="F11" s="16">
        <f>Plan!K31</f>
        <v/>
      </c>
      <c r="G11" s="8">
        <f>F11-E11</f>
        <v/>
      </c>
      <c r="H11" s="16">
        <f>Plan!I31</f>
        <v/>
      </c>
      <c r="I11" s="16">
        <f>Plan!O31</f>
        <v/>
      </c>
    </row>
    <row r="12">
      <c r="A12" s="8" t="n">
        <v>8</v>
      </c>
      <c r="B12" s="18" t="inlineStr">
        <is>
          <t>2.5</t>
        </is>
      </c>
      <c r="C12" s="35">
        <f>Plan!C17</f>
        <v/>
      </c>
      <c r="D12" s="8" t="n">
        <v>28</v>
      </c>
      <c r="E12" s="16">
        <f>Plan!J17</f>
        <v/>
      </c>
      <c r="F12" s="16">
        <f>Plan!K17</f>
        <v/>
      </c>
      <c r="G12" s="8">
        <f>F12-E12</f>
        <v/>
      </c>
      <c r="H12" s="16">
        <f>Plan!I17</f>
        <v/>
      </c>
      <c r="I12" s="16">
        <f>Plan!O17</f>
        <v/>
      </c>
    </row>
    <row r="13">
      <c r="A13" s="8" t="n">
        <v>9</v>
      </c>
      <c r="B13" s="18" t="inlineStr">
        <is>
          <t>3.1</t>
        </is>
      </c>
      <c r="C13" s="35">
        <f>Plan!C28</f>
        <v/>
      </c>
      <c r="D13" s="8" t="n">
        <v>24</v>
      </c>
      <c r="E13" s="16">
        <f>Plan!J28</f>
        <v/>
      </c>
      <c r="F13" s="16">
        <f>Plan!K28</f>
        <v/>
      </c>
      <c r="G13" s="8">
        <f>F13-E13</f>
        <v/>
      </c>
      <c r="H13" s="16">
        <f>Plan!I28</f>
        <v/>
      </c>
      <c r="I13" s="16">
        <f>Plan!O28</f>
        <v/>
      </c>
    </row>
    <row r="14">
      <c r="A14" s="8" t="n">
        <v>10</v>
      </c>
      <c r="B14" s="18" t="inlineStr">
        <is>
          <t>2.6</t>
        </is>
      </c>
      <c r="C14" s="35">
        <f>Plan!C18</f>
        <v/>
      </c>
      <c r="D14" s="8" t="n">
        <v>25</v>
      </c>
      <c r="E14" s="16">
        <f>Plan!J18</f>
        <v/>
      </c>
      <c r="F14" s="16">
        <f>Plan!K18</f>
        <v/>
      </c>
      <c r="G14" s="8">
        <f>F14-E14</f>
        <v/>
      </c>
      <c r="H14" s="16">
        <f>Plan!I18</f>
        <v/>
      </c>
      <c r="I14" s="16">
        <f>Plan!O18</f>
        <v/>
      </c>
    </row>
    <row r="15">
      <c r="A15" s="8" t="n">
        <v>11</v>
      </c>
      <c r="B15" s="18" t="inlineStr">
        <is>
          <t>2.3</t>
        </is>
      </c>
      <c r="C15" s="35">
        <f>Plan!C15</f>
        <v/>
      </c>
      <c r="D15" s="8" t="n">
        <v>20</v>
      </c>
      <c r="E15" s="16">
        <f>Plan!J15</f>
        <v/>
      </c>
      <c r="F15" s="16">
        <f>Plan!K15</f>
        <v/>
      </c>
      <c r="G15" s="8">
        <f>F15-E15</f>
        <v/>
      </c>
      <c r="H15" s="16">
        <f>Plan!I15</f>
        <v/>
      </c>
      <c r="I15" s="16">
        <f>Plan!O15</f>
        <v/>
      </c>
    </row>
    <row r="16">
      <c r="A16" s="8" t="n">
        <v>12</v>
      </c>
      <c r="B16" s="18" t="inlineStr">
        <is>
          <t>2.7</t>
        </is>
      </c>
      <c r="C16" s="35">
        <f>Plan!C19</f>
        <v/>
      </c>
      <c r="D16" s="8" t="n">
        <v>22</v>
      </c>
      <c r="E16" s="16">
        <f>Plan!J19</f>
        <v/>
      </c>
      <c r="F16" s="16">
        <f>Plan!K19</f>
        <v/>
      </c>
      <c r="G16" s="8">
        <f>F16-E16</f>
        <v/>
      </c>
      <c r="H16" s="16">
        <f>Plan!I19</f>
        <v/>
      </c>
      <c r="I16" s="16">
        <f>Plan!O19</f>
        <v/>
      </c>
    </row>
    <row r="17">
      <c r="A17" s="8" t="n">
        <v>13</v>
      </c>
      <c r="B17" s="18" t="inlineStr">
        <is>
          <t>6.10</t>
        </is>
      </c>
      <c r="C17" s="35">
        <f>Plan!C67</f>
        <v/>
      </c>
      <c r="D17" s="8" t="n">
        <v>6</v>
      </c>
      <c r="E17" s="16">
        <f>Plan!J67</f>
        <v/>
      </c>
      <c r="F17" s="16">
        <f>Plan!K67</f>
        <v/>
      </c>
      <c r="G17" s="8">
        <f>F17-E17</f>
        <v/>
      </c>
      <c r="H17" s="16">
        <f>Plan!I67</f>
        <v/>
      </c>
      <c r="I17" s="16">
        <f>Plan!O67</f>
        <v/>
      </c>
    </row>
    <row r="18">
      <c r="A18" s="8" t="n">
        <v>14</v>
      </c>
      <c r="B18" s="18" t="inlineStr">
        <is>
          <t>4.1</t>
        </is>
      </c>
      <c r="C18" s="35">
        <f>Plan!C37</f>
        <v/>
      </c>
      <c r="D18" s="8" t="n">
        <v>20</v>
      </c>
      <c r="E18" s="16">
        <f>Plan!J37</f>
        <v/>
      </c>
      <c r="F18" s="16">
        <f>Plan!K37</f>
        <v/>
      </c>
      <c r="G18" s="8">
        <f>F18-E18</f>
        <v/>
      </c>
      <c r="H18" s="16">
        <f>Plan!I37</f>
        <v/>
      </c>
      <c r="I18" s="16">
        <f>Plan!O37</f>
        <v/>
      </c>
    </row>
    <row r="19">
      <c r="A19" s="8" t="n">
        <v>15</v>
      </c>
      <c r="B19" s="18" t="inlineStr">
        <is>
          <t>3.5</t>
        </is>
      </c>
      <c r="C19" s="35">
        <f>Plan!C32</f>
        <v/>
      </c>
      <c r="D19" s="8" t="n">
        <v>16</v>
      </c>
      <c r="E19" s="16">
        <f>Plan!J32</f>
        <v/>
      </c>
      <c r="F19" s="16">
        <f>Plan!K32</f>
        <v/>
      </c>
      <c r="G19" s="8">
        <f>F19-E19</f>
        <v/>
      </c>
      <c r="H19" s="16">
        <f>Plan!I32</f>
        <v/>
      </c>
      <c r="I19" s="16">
        <f>Plan!O32</f>
        <v/>
      </c>
    </row>
    <row r="20">
      <c r="A20" s="8" t="n">
        <v>16</v>
      </c>
      <c r="B20" s="18" t="inlineStr">
        <is>
          <t>6.4</t>
        </is>
      </c>
      <c r="C20" s="35">
        <f>Plan!C61</f>
        <v/>
      </c>
      <c r="D20" s="8" t="n">
        <v>6</v>
      </c>
      <c r="E20" s="16">
        <f>Plan!J61</f>
        <v/>
      </c>
      <c r="F20" s="16">
        <f>Plan!K61</f>
        <v/>
      </c>
      <c r="G20" s="8">
        <f>F20-E20</f>
        <v/>
      </c>
      <c r="H20" s="16">
        <f>Plan!I61</f>
        <v/>
      </c>
      <c r="I20" s="16">
        <f>Plan!O61</f>
        <v/>
      </c>
    </row>
    <row r="21">
      <c r="A21" s="8" t="n">
        <v>17</v>
      </c>
      <c r="B21" s="18" t="inlineStr">
        <is>
          <t>1.5</t>
        </is>
      </c>
      <c r="C21" s="35">
        <f>Plan!C9</f>
        <v/>
      </c>
      <c r="D21" s="8" t="n">
        <v>17</v>
      </c>
      <c r="E21" s="16">
        <f>Plan!J9</f>
        <v/>
      </c>
      <c r="F21" s="16">
        <f>Plan!K9</f>
        <v/>
      </c>
      <c r="G21" s="8">
        <f>F21-E21</f>
        <v/>
      </c>
      <c r="H21" s="16">
        <f>Plan!I9</f>
        <v/>
      </c>
      <c r="I21" s="16">
        <f>Plan!O9</f>
        <v/>
      </c>
    </row>
    <row r="22">
      <c r="A22" s="8" t="n">
        <v>18</v>
      </c>
      <c r="B22" s="18" t="inlineStr">
        <is>
          <t>4.2</t>
        </is>
      </c>
      <c r="C22" s="35">
        <f>Plan!C38</f>
        <v/>
      </c>
      <c r="D22" s="8" t="n">
        <v>16</v>
      </c>
      <c r="E22" s="16">
        <f>Plan!J38</f>
        <v/>
      </c>
      <c r="F22" s="16">
        <f>Plan!K38</f>
        <v/>
      </c>
      <c r="G22" s="8">
        <f>F22-E22</f>
        <v/>
      </c>
      <c r="H22" s="16">
        <f>Plan!I38</f>
        <v/>
      </c>
      <c r="I22" s="16">
        <f>Plan!O38</f>
        <v/>
      </c>
    </row>
    <row r="23">
      <c r="A23" s="8" t="n">
        <v>19</v>
      </c>
      <c r="B23" s="18" t="inlineStr">
        <is>
          <t>2.9</t>
        </is>
      </c>
      <c r="C23" s="35">
        <f>Plan!C21</f>
        <v/>
      </c>
      <c r="D23" s="8" t="n">
        <v>18</v>
      </c>
      <c r="E23" s="16">
        <f>Plan!J21</f>
        <v/>
      </c>
      <c r="F23" s="16">
        <f>Plan!K21</f>
        <v/>
      </c>
      <c r="G23" s="8">
        <f>F23-E23</f>
        <v/>
      </c>
      <c r="H23" s="16">
        <f>Plan!I21</f>
        <v/>
      </c>
      <c r="I23" s="16">
        <f>Plan!O21</f>
        <v/>
      </c>
    </row>
    <row r="24">
      <c r="A24" s="8" t="n">
        <v>20</v>
      </c>
      <c r="B24" s="18" t="inlineStr">
        <is>
          <t>3.6</t>
        </is>
      </c>
      <c r="C24" s="35">
        <f>Plan!C33</f>
        <v/>
      </c>
      <c r="D24" s="8" t="n">
        <v>13</v>
      </c>
      <c r="E24" s="16">
        <f>Plan!J33</f>
        <v/>
      </c>
      <c r="F24" s="16">
        <f>Plan!K33</f>
        <v/>
      </c>
      <c r="G24" s="8">
        <f>F24-E24</f>
        <v/>
      </c>
      <c r="H24" s="16">
        <f>Plan!I33</f>
        <v/>
      </c>
      <c r="I24" s="16">
        <f>Plan!O33</f>
        <v/>
      </c>
    </row>
    <row r="25">
      <c r="A25" s="8" t="n">
        <v>21</v>
      </c>
      <c r="B25" s="18" t="inlineStr">
        <is>
          <t>4.5</t>
        </is>
      </c>
      <c r="C25" s="35">
        <f>Plan!C41</f>
        <v/>
      </c>
      <c r="D25" s="8" t="n">
        <v>14</v>
      </c>
      <c r="E25" s="16">
        <f>Plan!J41</f>
        <v/>
      </c>
      <c r="F25" s="16">
        <f>Plan!K41</f>
        <v/>
      </c>
      <c r="G25" s="8">
        <f>F25-E25</f>
        <v/>
      </c>
      <c r="H25" s="16">
        <f>Plan!I41</f>
        <v/>
      </c>
      <c r="I25" s="16">
        <f>Plan!O41</f>
        <v/>
      </c>
    </row>
    <row r="26">
      <c r="A26" s="8" t="n">
        <v>22</v>
      </c>
      <c r="B26" s="18" t="inlineStr">
        <is>
          <t>2.10</t>
        </is>
      </c>
      <c r="C26" s="35">
        <f>Plan!C22</f>
        <v/>
      </c>
      <c r="D26" s="8" t="n">
        <v>12</v>
      </c>
      <c r="E26" s="16">
        <f>Plan!J22</f>
        <v/>
      </c>
      <c r="F26" s="16">
        <f>Plan!K22</f>
        <v/>
      </c>
      <c r="G26" s="8">
        <f>F26-E26</f>
        <v/>
      </c>
      <c r="H26" s="16">
        <f>Plan!I22</f>
        <v/>
      </c>
      <c r="I26" s="16">
        <f>Plan!O22</f>
        <v/>
      </c>
    </row>
    <row r="27">
      <c r="A27" s="8" t="n">
        <v>23</v>
      </c>
      <c r="B27" s="18" t="inlineStr">
        <is>
          <t>2.1</t>
        </is>
      </c>
      <c r="C27" s="35">
        <f>Plan!C13</f>
        <v/>
      </c>
      <c r="D27" s="8" t="n">
        <v>16</v>
      </c>
      <c r="E27" s="16">
        <f>Plan!J13</f>
        <v/>
      </c>
      <c r="F27" s="16">
        <f>Plan!K13</f>
        <v/>
      </c>
      <c r="G27" s="8">
        <f>F27-E27</f>
        <v/>
      </c>
      <c r="H27" s="16">
        <f>Plan!I13</f>
        <v/>
      </c>
      <c r="I27" s="16">
        <f>Plan!O13</f>
        <v/>
      </c>
    </row>
    <row r="28">
      <c r="A28" s="8" t="n">
        <v>24</v>
      </c>
      <c r="B28" s="18" t="inlineStr">
        <is>
          <t>3.3</t>
        </is>
      </c>
      <c r="C28" s="35">
        <f>Plan!C30</f>
        <v/>
      </c>
      <c r="D28" s="8" t="n">
        <v>15</v>
      </c>
      <c r="E28" s="16">
        <f>Plan!J30</f>
        <v/>
      </c>
      <c r="F28" s="16">
        <f>Plan!K30</f>
        <v/>
      </c>
      <c r="G28" s="8">
        <f>F28-E28</f>
        <v/>
      </c>
      <c r="H28" s="16">
        <f>Plan!I30</f>
        <v/>
      </c>
      <c r="I28" s="16">
        <f>Plan!O30</f>
        <v/>
      </c>
    </row>
    <row r="29">
      <c r="A29" s="8" t="n">
        <v>25</v>
      </c>
      <c r="B29" s="18" t="inlineStr">
        <is>
          <t>4.6</t>
        </is>
      </c>
      <c r="C29" s="35">
        <f>Plan!C42</f>
        <v/>
      </c>
      <c r="D29" s="8" t="n">
        <v>11</v>
      </c>
      <c r="E29" s="16">
        <f>Plan!J42</f>
        <v/>
      </c>
      <c r="F29" s="16">
        <f>Plan!K42</f>
        <v/>
      </c>
      <c r="G29" s="8">
        <f>F29-E29</f>
        <v/>
      </c>
      <c r="H29" s="16">
        <f>Plan!I42</f>
        <v/>
      </c>
      <c r="I29" s="16">
        <f>Plan!O42</f>
        <v/>
      </c>
    </row>
    <row r="30">
      <c r="A30" s="8" t="n">
        <v>26</v>
      </c>
      <c r="B30" s="18" t="inlineStr">
        <is>
          <t>5.2</t>
        </is>
      </c>
      <c r="C30" s="35">
        <f>Plan!C49</f>
        <v/>
      </c>
      <c r="D30" s="8" t="n">
        <v>13</v>
      </c>
      <c r="E30" s="16">
        <f>Plan!J49</f>
        <v/>
      </c>
      <c r="F30" s="16">
        <f>Plan!K49</f>
        <v/>
      </c>
      <c r="G30" s="8">
        <f>F30-E30</f>
        <v/>
      </c>
      <c r="H30" s="16">
        <f>Plan!I49</f>
        <v/>
      </c>
      <c r="I30" s="16">
        <f>Plan!O49</f>
        <v/>
      </c>
    </row>
    <row r="31">
      <c r="A31" s="8" t="n">
        <v>27</v>
      </c>
      <c r="B31" s="18" t="inlineStr">
        <is>
          <t>3.7</t>
        </is>
      </c>
      <c r="C31" s="35">
        <f>Plan!C34</f>
        <v/>
      </c>
      <c r="D31" s="8" t="n">
        <v>12</v>
      </c>
      <c r="E31" s="16">
        <f>Plan!J34</f>
        <v/>
      </c>
      <c r="F31" s="16">
        <f>Plan!K34</f>
        <v/>
      </c>
      <c r="G31" s="8">
        <f>F31-E31</f>
        <v/>
      </c>
      <c r="H31" s="16">
        <f>Plan!I34</f>
        <v/>
      </c>
      <c r="I31" s="16">
        <f>Plan!O34</f>
        <v/>
      </c>
    </row>
    <row r="32">
      <c r="A32" s="8" t="n">
        <v>28</v>
      </c>
      <c r="B32" s="18" t="inlineStr">
        <is>
          <t>2.12</t>
        </is>
      </c>
      <c r="C32" s="35">
        <f>Plan!C24</f>
        <v/>
      </c>
      <c r="D32" s="8" t="n">
        <v>12</v>
      </c>
      <c r="E32" s="16">
        <f>Plan!J24</f>
        <v/>
      </c>
      <c r="F32" s="16">
        <f>Plan!K24</f>
        <v/>
      </c>
      <c r="G32" s="8">
        <f>F32-E32</f>
        <v/>
      </c>
      <c r="H32" s="16">
        <f>Plan!I24</f>
        <v/>
      </c>
      <c r="I32" s="16">
        <f>Plan!O24</f>
        <v/>
      </c>
    </row>
    <row r="33">
      <c r="A33" s="8" t="n">
        <v>29</v>
      </c>
      <c r="B33" s="18" t="inlineStr">
        <is>
          <t>1.7</t>
        </is>
      </c>
      <c r="C33" s="35">
        <f>Plan!C11</f>
        <v/>
      </c>
      <c r="D33" s="8" t="n">
        <v>11</v>
      </c>
      <c r="E33" s="16">
        <f>Plan!J11</f>
        <v/>
      </c>
      <c r="F33" s="16">
        <f>Plan!K11</f>
        <v/>
      </c>
      <c r="G33" s="8">
        <f>F33-E33</f>
        <v/>
      </c>
      <c r="H33" s="16">
        <f>Plan!I11</f>
        <v/>
      </c>
      <c r="I33" s="16">
        <f>Plan!O11</f>
        <v/>
      </c>
    </row>
    <row r="34">
      <c r="A34" s="8" t="n">
        <v>30</v>
      </c>
      <c r="B34" s="18" t="inlineStr">
        <is>
          <t>1.6</t>
        </is>
      </c>
      <c r="C34" s="35">
        <f>Plan!C10</f>
        <v/>
      </c>
      <c r="D34" s="8" t="n">
        <v>11</v>
      </c>
      <c r="E34" s="16">
        <f>Plan!J10</f>
        <v/>
      </c>
      <c r="F34" s="16">
        <f>Plan!K10</f>
        <v/>
      </c>
      <c r="G34" s="8">
        <f>F34-E34</f>
        <v/>
      </c>
      <c r="H34" s="16">
        <f>Plan!I10</f>
        <v/>
      </c>
      <c r="I34" s="16">
        <f>Plan!O10</f>
        <v/>
      </c>
    </row>
    <row r="35">
      <c r="A35" s="8" t="n">
        <v>31</v>
      </c>
      <c r="B35" s="18" t="inlineStr">
        <is>
          <t>5.5</t>
        </is>
      </c>
      <c r="C35" s="35">
        <f>Plan!C52</f>
        <v/>
      </c>
      <c r="D35" s="8" t="n">
        <v>9</v>
      </c>
      <c r="E35" s="16">
        <f>Plan!J52</f>
        <v/>
      </c>
      <c r="F35" s="16">
        <f>Plan!K52</f>
        <v/>
      </c>
      <c r="G35" s="8">
        <f>F35-E35</f>
        <v/>
      </c>
      <c r="H35" s="16">
        <f>Plan!I52</f>
        <v/>
      </c>
      <c r="I35" s="16">
        <f>Plan!O52</f>
        <v/>
      </c>
    </row>
    <row r="36">
      <c r="A36" s="8" t="n">
        <v>32</v>
      </c>
      <c r="B36" s="18" t="inlineStr">
        <is>
          <t>3.9</t>
        </is>
      </c>
      <c r="C36" s="35">
        <f>Plan!C35</f>
        <v/>
      </c>
      <c r="D36" s="8" t="n">
        <v>12</v>
      </c>
      <c r="E36" s="16">
        <f>Plan!J35</f>
        <v/>
      </c>
      <c r="F36" s="16">
        <f>Plan!K35</f>
        <v/>
      </c>
      <c r="G36" s="8">
        <f>F36-E36</f>
        <v/>
      </c>
      <c r="H36" s="16">
        <f>Plan!I35</f>
        <v/>
      </c>
      <c r="I36" s="16">
        <f>Plan!O35</f>
        <v/>
      </c>
    </row>
    <row r="37">
      <c r="A37" s="8" t="n">
        <v>33</v>
      </c>
      <c r="B37" s="18" t="inlineStr">
        <is>
          <t>4.11</t>
        </is>
      </c>
      <c r="C37" s="35">
        <f>Plan!C47</f>
        <v/>
      </c>
      <c r="D37" s="8" t="n">
        <v>7</v>
      </c>
      <c r="E37" s="16">
        <f>Plan!J47</f>
        <v/>
      </c>
      <c r="F37" s="16">
        <f>Plan!K47</f>
        <v/>
      </c>
      <c r="G37" s="8">
        <f>F37-E37</f>
        <v/>
      </c>
      <c r="H37" s="16">
        <f>Plan!I47</f>
        <v/>
      </c>
      <c r="I37" s="16">
        <f>Plan!O47</f>
        <v/>
      </c>
    </row>
    <row r="38">
      <c r="A38" s="8" t="n">
        <v>34</v>
      </c>
      <c r="B38" s="18" t="inlineStr">
        <is>
          <t>2.14</t>
        </is>
      </c>
      <c r="C38" s="35">
        <f>Plan!C26</f>
        <v/>
      </c>
      <c r="D38" s="8" t="n">
        <v>9</v>
      </c>
      <c r="E38" s="16">
        <f>Plan!J26</f>
        <v/>
      </c>
      <c r="F38" s="16">
        <f>Plan!K26</f>
        <v/>
      </c>
      <c r="G38" s="8">
        <f>F38-E38</f>
        <v/>
      </c>
      <c r="H38" s="16">
        <f>Plan!I26</f>
        <v/>
      </c>
      <c r="I38" s="16">
        <f>Plan!O26</f>
        <v/>
      </c>
    </row>
    <row r="39">
      <c r="A39" s="8" t="n">
        <v>35</v>
      </c>
      <c r="B39" s="18" t="inlineStr">
        <is>
          <t>6.13</t>
        </is>
      </c>
      <c r="C39" s="35">
        <f>Plan!C70</f>
        <v/>
      </c>
      <c r="D39" s="8" t="n">
        <v>6</v>
      </c>
      <c r="E39" s="16">
        <f>Plan!J70</f>
        <v/>
      </c>
      <c r="F39" s="16">
        <f>Plan!K70</f>
        <v/>
      </c>
      <c r="G39" s="8">
        <f>F39-E39</f>
        <v/>
      </c>
      <c r="H39" s="16">
        <f>Plan!I70</f>
        <v/>
      </c>
      <c r="I39" s="16">
        <f>Plan!O70</f>
        <v/>
      </c>
    </row>
    <row r="40">
      <c r="A40" s="8" t="n">
        <v>36</v>
      </c>
      <c r="B40" s="18" t="inlineStr">
        <is>
          <t>2.8</t>
        </is>
      </c>
      <c r="C40" s="35">
        <f>Plan!C20</f>
        <v/>
      </c>
      <c r="D40" s="8" t="n">
        <v>9</v>
      </c>
      <c r="E40" s="16">
        <f>Plan!J20</f>
        <v/>
      </c>
      <c r="F40" s="16">
        <f>Plan!K20</f>
        <v/>
      </c>
      <c r="G40" s="8">
        <f>F40-E40</f>
        <v/>
      </c>
      <c r="H40" s="16">
        <f>Plan!I20</f>
        <v/>
      </c>
      <c r="I40" s="16">
        <f>Plan!O20</f>
        <v/>
      </c>
    </row>
    <row r="41">
      <c r="A41" s="8" t="n">
        <v>37</v>
      </c>
      <c r="B41" s="18" t="inlineStr">
        <is>
          <t>4.10</t>
        </is>
      </c>
      <c r="C41" s="35">
        <f>Plan!C46</f>
        <v/>
      </c>
      <c r="D41" s="8" t="n">
        <v>6</v>
      </c>
      <c r="E41" s="16">
        <f>Plan!J46</f>
        <v/>
      </c>
      <c r="F41" s="16">
        <f>Plan!K46</f>
        <v/>
      </c>
      <c r="G41" s="8">
        <f>F41-E41</f>
        <v/>
      </c>
      <c r="H41" s="16">
        <f>Plan!I46</f>
        <v/>
      </c>
      <c r="I41" s="16">
        <f>Plan!O46</f>
        <v/>
      </c>
    </row>
    <row r="42">
      <c r="A42" s="8" t="n">
        <v>38</v>
      </c>
      <c r="B42" s="18" t="inlineStr">
        <is>
          <t>2.15</t>
        </is>
      </c>
      <c r="C42" s="35">
        <f>Plan!C27</f>
        <v/>
      </c>
      <c r="D42" s="8" t="n">
        <v>8</v>
      </c>
      <c r="E42" s="16">
        <f>Plan!J27</f>
        <v/>
      </c>
      <c r="F42" s="16">
        <f>Plan!K27</f>
        <v/>
      </c>
      <c r="G42" s="8">
        <f>F42-E42</f>
        <v/>
      </c>
      <c r="H42" s="16">
        <f>Plan!I27</f>
        <v/>
      </c>
      <c r="I42" s="16">
        <f>Plan!O27</f>
        <v/>
      </c>
    </row>
    <row r="43">
      <c r="A43" s="8" t="n">
        <v>39</v>
      </c>
      <c r="B43" s="18" t="inlineStr">
        <is>
          <t>5.1</t>
        </is>
      </c>
      <c r="C43" s="35">
        <f>Plan!C48</f>
        <v/>
      </c>
      <c r="D43" s="8" t="n">
        <v>5</v>
      </c>
      <c r="E43" s="16">
        <f>Plan!J48</f>
        <v/>
      </c>
      <c r="F43" s="16">
        <f>Plan!K48</f>
        <v/>
      </c>
      <c r="G43" s="8">
        <f>F43-E43</f>
        <v/>
      </c>
      <c r="H43" s="16">
        <f>Plan!I48</f>
        <v/>
      </c>
      <c r="I43" s="16">
        <f>Plan!O48</f>
        <v/>
      </c>
    </row>
    <row r="44">
      <c r="A44" s="8" t="n">
        <v>40</v>
      </c>
      <c r="B44" s="18" t="inlineStr">
        <is>
          <t>4.4</t>
        </is>
      </c>
      <c r="C44" s="35">
        <f>Plan!C40</f>
        <v/>
      </c>
      <c r="D44" s="8" t="n">
        <v>7</v>
      </c>
      <c r="E44" s="16">
        <f>Plan!J40</f>
        <v/>
      </c>
      <c r="F44" s="16">
        <f>Plan!K40</f>
        <v/>
      </c>
      <c r="G44" s="8">
        <f>F44-E44</f>
        <v/>
      </c>
      <c r="H44" s="16">
        <f>Plan!I40</f>
        <v/>
      </c>
      <c r="I44" s="16">
        <f>Plan!O40</f>
        <v/>
      </c>
    </row>
    <row r="45">
      <c r="A45" s="8" t="n">
        <v>41</v>
      </c>
      <c r="B45" s="18" t="inlineStr">
        <is>
          <t>6.19</t>
        </is>
      </c>
      <c r="C45" s="35">
        <f>Plan!C74</f>
        <v/>
      </c>
      <c r="D45" s="8" t="n">
        <v>5</v>
      </c>
      <c r="E45" s="16">
        <f>Plan!J74</f>
        <v/>
      </c>
      <c r="F45" s="16">
        <f>Plan!K74</f>
        <v/>
      </c>
      <c r="G45" s="8">
        <f>F45-E45</f>
        <v/>
      </c>
      <c r="H45" s="16">
        <f>Plan!I74</f>
        <v/>
      </c>
      <c r="I45" s="16">
        <f>Plan!O74</f>
        <v/>
      </c>
    </row>
    <row r="46">
      <c r="A46" s="8" t="n">
        <v>42</v>
      </c>
      <c r="B46" s="18" t="inlineStr">
        <is>
          <t>6.11</t>
        </is>
      </c>
      <c r="C46" s="35">
        <f>Plan!C68</f>
        <v/>
      </c>
      <c r="D46" s="8" t="n">
        <v>7</v>
      </c>
      <c r="E46" s="16">
        <f>Plan!J68</f>
        <v/>
      </c>
      <c r="F46" s="16">
        <f>Plan!K68</f>
        <v/>
      </c>
      <c r="G46" s="8">
        <f>F46-E46</f>
        <v/>
      </c>
      <c r="H46" s="16">
        <f>Plan!I68</f>
        <v/>
      </c>
      <c r="I46" s="16">
        <f>Plan!O68</f>
        <v/>
      </c>
    </row>
    <row r="47">
      <c r="A47" s="8" t="n">
        <v>43</v>
      </c>
      <c r="B47" s="18" t="inlineStr">
        <is>
          <t>5.7</t>
        </is>
      </c>
      <c r="C47" s="35">
        <f>Plan!C54</f>
        <v/>
      </c>
      <c r="D47" s="8" t="n">
        <v>3</v>
      </c>
      <c r="E47" s="16">
        <f>Plan!J54</f>
        <v/>
      </c>
      <c r="F47" s="16">
        <f>Plan!K54</f>
        <v/>
      </c>
      <c r="G47" s="8">
        <f>F47-E47</f>
        <v/>
      </c>
      <c r="H47" s="16">
        <f>Plan!I54</f>
        <v/>
      </c>
      <c r="I47" s="16">
        <f>Plan!O54</f>
        <v/>
      </c>
    </row>
    <row r="48">
      <c r="A48" s="8" t="n">
        <v>44</v>
      </c>
      <c r="B48" s="18" t="inlineStr">
        <is>
          <t>3.10</t>
        </is>
      </c>
      <c r="C48" s="35">
        <f>Plan!C36</f>
        <v/>
      </c>
      <c r="D48" s="8" t="n">
        <v>7</v>
      </c>
      <c r="E48" s="16">
        <f>Plan!J36</f>
        <v/>
      </c>
      <c r="F48" s="16">
        <f>Plan!K36</f>
        <v/>
      </c>
      <c r="G48" s="8">
        <f>F48-E48</f>
        <v/>
      </c>
      <c r="H48" s="16">
        <f>Plan!I36</f>
        <v/>
      </c>
      <c r="I48" s="16">
        <f>Plan!O36</f>
        <v/>
      </c>
    </row>
    <row r="49">
      <c r="A49" s="8" t="n">
        <v>45</v>
      </c>
      <c r="B49" s="18" t="inlineStr">
        <is>
          <t>6.16</t>
        </is>
      </c>
      <c r="C49" s="35">
        <f>Plan!C73</f>
        <v/>
      </c>
      <c r="D49" s="8" t="n">
        <v>5</v>
      </c>
      <c r="E49" s="16">
        <f>Plan!J73</f>
        <v/>
      </c>
      <c r="F49" s="16">
        <f>Plan!K73</f>
        <v/>
      </c>
      <c r="G49" s="8">
        <f>F49-E49</f>
        <v/>
      </c>
      <c r="H49" s="16">
        <f>Plan!I73</f>
        <v/>
      </c>
      <c r="I49" s="16">
        <f>Plan!O73</f>
        <v/>
      </c>
    </row>
    <row r="50">
      <c r="A50" s="8" t="n">
        <v>46</v>
      </c>
      <c r="B50" s="18" t="inlineStr">
        <is>
          <t>6.9</t>
        </is>
      </c>
      <c r="C50" s="35">
        <f>Plan!C66</f>
        <v/>
      </c>
      <c r="D50" s="8" t="n">
        <v>6</v>
      </c>
      <c r="E50" s="16">
        <f>Plan!J66</f>
        <v/>
      </c>
      <c r="F50" s="16">
        <f>Plan!K66</f>
        <v/>
      </c>
      <c r="G50" s="8">
        <f>F50-E50</f>
        <v/>
      </c>
      <c r="H50" s="16">
        <f>Plan!I66</f>
        <v/>
      </c>
      <c r="I50" s="16">
        <f>Plan!O66</f>
        <v/>
      </c>
    </row>
    <row r="51">
      <c r="A51" s="8" t="n">
        <v>47</v>
      </c>
      <c r="B51" s="18" t="inlineStr">
        <is>
          <t>6.8</t>
        </is>
      </c>
      <c r="C51" s="35">
        <f>Plan!C65</f>
        <v/>
      </c>
      <c r="D51" s="8" t="n">
        <v>6</v>
      </c>
      <c r="E51" s="16">
        <f>Plan!J65</f>
        <v/>
      </c>
      <c r="F51" s="16">
        <f>Plan!K65</f>
        <v/>
      </c>
      <c r="G51" s="8">
        <f>F51-E51</f>
        <v/>
      </c>
      <c r="H51" s="16">
        <f>Plan!I65</f>
        <v/>
      </c>
      <c r="I51" s="16">
        <f>Plan!O65</f>
        <v/>
      </c>
    </row>
    <row r="52">
      <c r="A52" s="8" t="n">
        <v>48</v>
      </c>
      <c r="B52" s="18" t="inlineStr">
        <is>
          <t>5.8</t>
        </is>
      </c>
      <c r="C52" s="35">
        <f>Plan!C55</f>
        <v/>
      </c>
      <c r="D52" s="8" t="n">
        <v>1</v>
      </c>
      <c r="E52" s="16">
        <f>Plan!J55</f>
        <v/>
      </c>
      <c r="F52" s="16">
        <f>Plan!K55</f>
        <v/>
      </c>
      <c r="G52" s="8">
        <f>F52-E52</f>
        <v/>
      </c>
      <c r="H52" s="16">
        <f>Plan!I55</f>
        <v/>
      </c>
      <c r="I52" s="16">
        <f>Plan!O55</f>
        <v/>
      </c>
    </row>
    <row r="53">
      <c r="A53" s="8" t="n">
        <v>49</v>
      </c>
      <c r="B53" s="18" t="inlineStr">
        <is>
          <t>6.17</t>
        </is>
      </c>
      <c r="C53" s="35">
        <f>Plan!C75</f>
        <v/>
      </c>
      <c r="D53" s="8" t="n">
        <v>4</v>
      </c>
      <c r="E53" s="16">
        <f>Plan!J75</f>
        <v/>
      </c>
      <c r="F53" s="16">
        <f>Plan!K75</f>
        <v/>
      </c>
      <c r="G53" s="8">
        <f>F53-E53</f>
        <v/>
      </c>
      <c r="H53" s="16">
        <f>Plan!I75</f>
        <v/>
      </c>
      <c r="I53" s="16">
        <f>Plan!O75</f>
        <v/>
      </c>
    </row>
    <row r="54">
      <c r="A54" s="8" t="n">
        <v>50</v>
      </c>
      <c r="B54" s="18" t="inlineStr">
        <is>
          <t>2.13</t>
        </is>
      </c>
      <c r="C54" s="35">
        <f>Plan!C25</f>
        <v/>
      </c>
      <c r="D54" s="8" t="n">
        <v>1</v>
      </c>
      <c r="E54" s="16">
        <f>Plan!J25</f>
        <v/>
      </c>
      <c r="F54" s="16">
        <f>Plan!K25</f>
        <v/>
      </c>
      <c r="G54" s="8">
        <f>F54-E54</f>
        <v/>
      </c>
      <c r="H54" s="16">
        <f>Plan!I25</f>
        <v/>
      </c>
      <c r="I54" s="16">
        <f>Plan!O25</f>
        <v/>
      </c>
    </row>
    <row r="55">
      <c r="A55" s="8" t="n">
        <v>51</v>
      </c>
      <c r="B55" s="18" t="inlineStr">
        <is>
          <t>3.2</t>
        </is>
      </c>
      <c r="C55" s="35">
        <f>Plan!C29</f>
        <v/>
      </c>
      <c r="D55" s="8" t="n">
        <v>3</v>
      </c>
      <c r="E55" s="16">
        <f>Plan!J29</f>
        <v/>
      </c>
      <c r="F55" s="16">
        <f>Plan!K29</f>
        <v/>
      </c>
      <c r="G55" s="8">
        <f>F55-E55</f>
        <v/>
      </c>
      <c r="H55" s="16">
        <f>Plan!I29</f>
        <v/>
      </c>
      <c r="I55" s="16">
        <f>Plan!O29</f>
        <v/>
      </c>
    </row>
    <row r="56">
      <c r="A56" s="8" t="n">
        <v>52</v>
      </c>
      <c r="B56" s="18" t="inlineStr">
        <is>
          <t>4.9</t>
        </is>
      </c>
      <c r="C56" s="35">
        <f>Plan!C45</f>
        <v/>
      </c>
      <c r="D56" s="8" t="n">
        <v>2</v>
      </c>
      <c r="E56" s="16">
        <f>Plan!J45</f>
        <v/>
      </c>
      <c r="F56" s="16">
        <f>Plan!K45</f>
        <v/>
      </c>
      <c r="G56" s="8">
        <f>F56-E56</f>
        <v/>
      </c>
      <c r="H56" s="16">
        <f>Plan!I45</f>
        <v/>
      </c>
      <c r="I56" s="16">
        <f>Plan!O45</f>
        <v/>
      </c>
    </row>
    <row r="57">
      <c r="A57" s="8" t="n">
        <v>53</v>
      </c>
      <c r="B57" s="18" t="inlineStr">
        <is>
          <t>2.11</t>
        </is>
      </c>
      <c r="C57" s="35">
        <f>Plan!C23</f>
        <v/>
      </c>
      <c r="D57" s="8" t="n">
        <v>9</v>
      </c>
      <c r="E57" s="16">
        <f>Plan!J23</f>
        <v/>
      </c>
      <c r="F57" s="16">
        <f>Plan!K23</f>
        <v/>
      </c>
      <c r="G57" s="8">
        <f>F57-E57</f>
        <v/>
      </c>
      <c r="H57" s="16">
        <f>Plan!I23</f>
        <v/>
      </c>
      <c r="I57" s="16">
        <f>Plan!O23</f>
        <v/>
      </c>
    </row>
    <row r="58">
      <c r="A58" s="8" t="n">
        <v>54</v>
      </c>
      <c r="B58" s="18" t="inlineStr">
        <is>
          <t>5.4</t>
        </is>
      </c>
      <c r="C58" s="35">
        <f>Plan!C51</f>
        <v/>
      </c>
      <c r="D58" s="8" t="n">
        <v>9</v>
      </c>
      <c r="E58" s="16">
        <f>Plan!J51</f>
        <v/>
      </c>
      <c r="F58" s="16">
        <f>Plan!K51</f>
        <v/>
      </c>
      <c r="G58" s="8">
        <f>F58-E58</f>
        <v/>
      </c>
      <c r="H58" s="16">
        <f>Plan!I51</f>
        <v/>
      </c>
      <c r="I58" s="16">
        <f>Plan!O51</f>
        <v/>
      </c>
    </row>
    <row r="59">
      <c r="A59" s="8" t="n">
        <v>55</v>
      </c>
      <c r="B59" s="18" t="inlineStr">
        <is>
          <t>4.3</t>
        </is>
      </c>
      <c r="C59" s="35">
        <f>Plan!C39</f>
        <v/>
      </c>
      <c r="D59" s="8" t="n">
        <v>13</v>
      </c>
      <c r="E59" s="16">
        <f>Plan!J39</f>
        <v/>
      </c>
      <c r="F59" s="16">
        <f>Plan!K39</f>
        <v/>
      </c>
      <c r="G59" s="8">
        <f>F59-E59</f>
        <v/>
      </c>
      <c r="H59" s="16">
        <f>Plan!I39</f>
        <v/>
      </c>
      <c r="I59" s="16">
        <f>Plan!O39</f>
        <v/>
      </c>
    </row>
    <row r="60">
      <c r="A60" s="8" t="n">
        <v>56</v>
      </c>
      <c r="B60" s="18" t="inlineStr">
        <is>
          <t>5.6</t>
        </is>
      </c>
      <c r="C60" s="35">
        <f>Plan!C53</f>
        <v/>
      </c>
      <c r="D60" s="8" t="n">
        <v>9</v>
      </c>
      <c r="E60" s="16">
        <f>Plan!J53</f>
        <v/>
      </c>
      <c r="F60" s="16">
        <f>Plan!K53</f>
        <v/>
      </c>
      <c r="G60" s="8">
        <f>F60-E60</f>
        <v/>
      </c>
      <c r="H60" s="16">
        <f>Plan!I53</f>
        <v/>
      </c>
      <c r="I60" s="16">
        <f>Plan!O53</f>
        <v/>
      </c>
    </row>
    <row r="61">
      <c r="A61" s="8" t="n">
        <v>57</v>
      </c>
      <c r="B61" s="18" t="inlineStr">
        <is>
          <t>6.12</t>
        </is>
      </c>
      <c r="C61" s="35">
        <f>Plan!C69</f>
        <v/>
      </c>
      <c r="D61" s="8" t="n">
        <v>1</v>
      </c>
      <c r="E61" s="16">
        <f>Plan!J69</f>
        <v/>
      </c>
      <c r="F61" s="16">
        <f>Plan!K69</f>
        <v/>
      </c>
      <c r="G61" s="8">
        <f>F61-E61</f>
        <v/>
      </c>
      <c r="H61" s="16">
        <f>Plan!I69</f>
        <v/>
      </c>
      <c r="I61" s="16">
        <f>Plan!O69</f>
        <v/>
      </c>
    </row>
    <row r="62">
      <c r="A62" s="8" t="n">
        <v>58</v>
      </c>
      <c r="B62" s="18" t="inlineStr">
        <is>
          <t>6.1</t>
        </is>
      </c>
      <c r="C62" s="35">
        <f>Plan!C58</f>
        <v/>
      </c>
      <c r="D62" s="8" t="n">
        <v>11</v>
      </c>
      <c r="E62" s="16">
        <f>Plan!J58</f>
        <v/>
      </c>
      <c r="F62" s="16">
        <f>Plan!K58</f>
        <v/>
      </c>
      <c r="G62" s="8">
        <f>F62-E62</f>
        <v/>
      </c>
      <c r="H62" s="16">
        <f>Plan!I58</f>
        <v/>
      </c>
      <c r="I62" s="16">
        <f>Plan!O58</f>
        <v/>
      </c>
    </row>
    <row r="63">
      <c r="A63" s="8" t="n">
        <v>59</v>
      </c>
      <c r="B63" s="18" t="inlineStr">
        <is>
          <t>6.2</t>
        </is>
      </c>
      <c r="C63" s="35">
        <f>Plan!C59</f>
        <v/>
      </c>
      <c r="D63" s="8" t="n">
        <v>7</v>
      </c>
      <c r="E63" s="16">
        <f>Plan!J59</f>
        <v/>
      </c>
      <c r="F63" s="16">
        <f>Plan!K59</f>
        <v/>
      </c>
      <c r="G63" s="8">
        <f>F63-E63</f>
        <v/>
      </c>
      <c r="H63" s="16">
        <f>Plan!I59</f>
        <v/>
      </c>
      <c r="I63" s="16">
        <f>Plan!O59</f>
        <v/>
      </c>
    </row>
    <row r="64">
      <c r="A64" s="8" t="n">
        <v>60</v>
      </c>
      <c r="B64" s="18" t="inlineStr">
        <is>
          <t>5.3</t>
        </is>
      </c>
      <c r="C64" s="35">
        <f>Plan!C50</f>
        <v/>
      </c>
      <c r="D64" s="8" t="n">
        <v>10</v>
      </c>
      <c r="E64" s="16">
        <f>Plan!J50</f>
        <v/>
      </c>
      <c r="F64" s="16">
        <f>Plan!K50</f>
        <v/>
      </c>
      <c r="G64" s="8">
        <f>F64-E64</f>
        <v/>
      </c>
      <c r="H64" s="16">
        <f>Plan!I50</f>
        <v/>
      </c>
      <c r="I64" s="16">
        <f>Plan!O50</f>
        <v/>
      </c>
    </row>
    <row r="65">
      <c r="A65" s="8" t="n">
        <v>61</v>
      </c>
      <c r="B65" s="18" t="inlineStr">
        <is>
          <t>6.18</t>
        </is>
      </c>
      <c r="C65" s="35">
        <f>Plan!C76</f>
        <v/>
      </c>
      <c r="D65" s="8" t="n">
        <v>1</v>
      </c>
      <c r="E65" s="16">
        <f>Plan!J76</f>
        <v/>
      </c>
      <c r="F65" s="16">
        <f>Plan!K76</f>
        <v/>
      </c>
      <c r="G65" s="8">
        <f>F65-E65</f>
        <v/>
      </c>
      <c r="H65" s="16">
        <f>Plan!I76</f>
        <v/>
      </c>
      <c r="I65" s="16">
        <f>Plan!O76</f>
        <v/>
      </c>
    </row>
    <row r="66">
      <c r="A66" s="8" t="n">
        <v>62</v>
      </c>
      <c r="B66" s="18" t="inlineStr">
        <is>
          <t>6.3</t>
        </is>
      </c>
      <c r="C66" s="35">
        <f>Plan!C60</f>
        <v/>
      </c>
      <c r="D66" s="8" t="n">
        <v>8</v>
      </c>
      <c r="E66" s="16">
        <f>Plan!J60</f>
        <v/>
      </c>
      <c r="F66" s="16">
        <f>Plan!K60</f>
        <v/>
      </c>
      <c r="G66" s="8">
        <f>F66-E66</f>
        <v/>
      </c>
      <c r="H66" s="16">
        <f>Plan!I60</f>
        <v/>
      </c>
      <c r="I66" s="16">
        <f>Plan!O60</f>
        <v/>
      </c>
    </row>
    <row r="67">
      <c r="A67" s="8" t="n">
        <v>63</v>
      </c>
      <c r="B67" s="18" t="inlineStr">
        <is>
          <t>1.8</t>
        </is>
      </c>
      <c r="C67" s="35">
        <f>Plan!C12</f>
        <v/>
      </c>
      <c r="D67" s="8" t="n">
        <v>2</v>
      </c>
      <c r="E67" s="16">
        <f>Plan!J12</f>
        <v/>
      </c>
      <c r="F67" s="16">
        <f>Plan!K12</f>
        <v/>
      </c>
      <c r="G67" s="8">
        <f>F67-E67</f>
        <v/>
      </c>
      <c r="H67" s="16">
        <f>Plan!I12</f>
        <v/>
      </c>
      <c r="I67" s="16">
        <f>Plan!O12</f>
        <v/>
      </c>
    </row>
    <row r="68">
      <c r="A68" s="8" t="n">
        <v>64</v>
      </c>
      <c r="B68" s="18" t="inlineStr">
        <is>
          <t>6.14</t>
        </is>
      </c>
      <c r="C68" s="35">
        <f>Plan!C71</f>
        <v/>
      </c>
      <c r="D68" s="8" t="n">
        <v>1</v>
      </c>
      <c r="E68" s="16">
        <f>Plan!J71</f>
        <v/>
      </c>
      <c r="F68" s="16">
        <f>Plan!K71</f>
        <v/>
      </c>
      <c r="G68" s="8">
        <f>F68-E68</f>
        <v/>
      </c>
      <c r="H68" s="16">
        <f>Plan!I71</f>
        <v/>
      </c>
      <c r="I68" s="16">
        <f>Plan!O71</f>
        <v/>
      </c>
    </row>
    <row r="69">
      <c r="A69" s="8" t="n">
        <v>65</v>
      </c>
      <c r="B69" s="18" t="inlineStr">
        <is>
          <t>6.5</t>
        </is>
      </c>
      <c r="C69" s="35">
        <f>Plan!C62</f>
        <v/>
      </c>
      <c r="D69" s="8" t="n">
        <v>5</v>
      </c>
      <c r="E69" s="16">
        <f>Plan!J62</f>
        <v/>
      </c>
      <c r="F69" s="16">
        <f>Plan!K62</f>
        <v/>
      </c>
      <c r="G69" s="8">
        <f>F69-E69</f>
        <v/>
      </c>
      <c r="H69" s="16">
        <f>Plan!I62</f>
        <v/>
      </c>
      <c r="I69" s="16">
        <f>Plan!O62</f>
        <v/>
      </c>
    </row>
    <row r="70">
      <c r="A70" s="8" t="n">
        <v>66</v>
      </c>
      <c r="B70" s="18" t="inlineStr">
        <is>
          <t>6.6</t>
        </is>
      </c>
      <c r="C70" s="35">
        <f>Plan!C63</f>
        <v/>
      </c>
      <c r="D70" s="8" t="n">
        <v>3</v>
      </c>
      <c r="E70" s="16">
        <f>Plan!J63</f>
        <v/>
      </c>
      <c r="F70" s="16">
        <f>Plan!K63</f>
        <v/>
      </c>
      <c r="G70" s="8">
        <f>F70-E70</f>
        <v/>
      </c>
      <c r="H70" s="16">
        <f>Plan!I63</f>
        <v/>
      </c>
      <c r="I70" s="16">
        <f>Plan!O63</f>
        <v/>
      </c>
    </row>
    <row r="71">
      <c r="A71" s="8" t="n">
        <v>67</v>
      </c>
      <c r="B71" s="18" t="inlineStr">
        <is>
          <t>5.10</t>
        </is>
      </c>
      <c r="C71" s="35">
        <f>Plan!C57</f>
        <v/>
      </c>
      <c r="D71" s="8" t="n">
        <v>2</v>
      </c>
      <c r="E71" s="16">
        <f>Plan!J57</f>
        <v/>
      </c>
      <c r="F71" s="16">
        <f>Plan!K57</f>
        <v/>
      </c>
      <c r="G71" s="8">
        <f>F71-E71</f>
        <v/>
      </c>
      <c r="H71" s="16">
        <f>Plan!I57</f>
        <v/>
      </c>
      <c r="I71" s="16">
        <f>Plan!O57</f>
        <v/>
      </c>
    </row>
    <row r="72">
      <c r="A72" s="8" t="n">
        <v>68</v>
      </c>
      <c r="B72" s="18" t="inlineStr">
        <is>
          <t>4.8</t>
        </is>
      </c>
      <c r="C72" s="35">
        <f>Plan!C44</f>
        <v/>
      </c>
      <c r="D72" s="8" t="n">
        <v>3</v>
      </c>
      <c r="E72" s="16">
        <f>Plan!J44</f>
        <v/>
      </c>
      <c r="F72" s="16">
        <f>Plan!K44</f>
        <v/>
      </c>
      <c r="G72" s="8">
        <f>F72-E72</f>
        <v/>
      </c>
      <c r="H72" s="16">
        <f>Plan!I44</f>
        <v/>
      </c>
      <c r="I72" s="16">
        <f>Plan!O44</f>
        <v/>
      </c>
    </row>
    <row r="73">
      <c r="A73" s="8" t="n">
        <v>69</v>
      </c>
      <c r="B73" s="18" t="inlineStr">
        <is>
          <t>5.9</t>
        </is>
      </c>
      <c r="C73" s="35">
        <f>Plan!C56</f>
        <v/>
      </c>
      <c r="D73" s="8" t="n">
        <v>3</v>
      </c>
      <c r="E73" s="16">
        <f>Plan!J56</f>
        <v/>
      </c>
      <c r="F73" s="16">
        <f>Plan!K56</f>
        <v/>
      </c>
      <c r="G73" s="8">
        <f>F73-E73</f>
        <v/>
      </c>
      <c r="H73" s="16">
        <f>Plan!I56</f>
        <v/>
      </c>
      <c r="I73" s="16">
        <f>Plan!O56</f>
        <v/>
      </c>
    </row>
    <row r="74">
      <c r="A74" s="8" t="n">
        <v>70</v>
      </c>
      <c r="B74" s="18" t="inlineStr">
        <is>
          <t>4.7</t>
        </is>
      </c>
      <c r="C74" s="35">
        <f>Plan!C43</f>
        <v/>
      </c>
      <c r="D74" s="8" t="n">
        <v>4</v>
      </c>
      <c r="E74" s="16">
        <f>Plan!J43</f>
        <v/>
      </c>
      <c r="F74" s="16">
        <f>Plan!K43</f>
        <v/>
      </c>
      <c r="G74" s="8">
        <f>F74-E74</f>
        <v/>
      </c>
      <c r="H74" s="16">
        <f>Plan!I43</f>
        <v/>
      </c>
      <c r="I74" s="16">
        <f>Plan!O43</f>
        <v/>
      </c>
    </row>
    <row r="75">
      <c r="A75" s="8" t="n">
        <v>71</v>
      </c>
      <c r="B75" s="18" t="inlineStr">
        <is>
          <t>6.15</t>
        </is>
      </c>
      <c r="C75" s="35">
        <f>Plan!C72</f>
        <v/>
      </c>
      <c r="D75" s="8" t="n">
        <v>1</v>
      </c>
      <c r="E75" s="16">
        <f>Plan!J72</f>
        <v/>
      </c>
      <c r="F75" s="16">
        <f>Plan!K72</f>
        <v/>
      </c>
      <c r="G75" s="8">
        <f>F75-E75</f>
        <v/>
      </c>
      <c r="H75" s="16">
        <f>Plan!I72</f>
        <v/>
      </c>
      <c r="I75" s="16">
        <f>Plan!O72</f>
        <v/>
      </c>
    </row>
    <row r="76">
      <c r="A76" s="8" t="n">
        <v>72</v>
      </c>
      <c r="B76" s="18" t="inlineStr">
        <is>
          <t>6.7</t>
        </is>
      </c>
      <c r="C76" s="35">
        <f>Plan!C64</f>
        <v/>
      </c>
      <c r="D76" s="8" t="n">
        <v>1</v>
      </c>
      <c r="E76" s="16">
        <f>Plan!J64</f>
        <v/>
      </c>
      <c r="F76" s="16">
        <f>Plan!K64</f>
        <v/>
      </c>
      <c r="G76" s="8">
        <f>F76-E76</f>
        <v/>
      </c>
      <c r="H76" s="16">
        <f>Plan!I64</f>
        <v/>
      </c>
      <c r="I76" s="16">
        <f>Plan!O64</f>
        <v/>
      </c>
    </row>
    <row r="78">
      <c r="B78" s="3" t="inlineStr">
        <is>
          <t>Estadísticas de la cola</t>
        </is>
      </c>
    </row>
    <row r="79">
      <c r="B79" s="23" t="inlineStr">
        <is>
          <t>Fila</t>
        </is>
      </c>
      <c r="C79" s="23" t="inlineStr">
        <is>
          <t>Actividades</t>
        </is>
      </c>
      <c r="D79" s="23" t="inlineStr">
        <is>
          <t>Bloques ocupados</t>
        </is>
      </c>
      <c r="E79" s="23" t="inlineStr">
        <is>
          <t>Uso</t>
        </is>
      </c>
      <c r="F79" s="23" t="inlineStr">
        <is>
          <t>Espera promedio</t>
        </is>
      </c>
    </row>
    <row r="80">
      <c r="B80" s="18" t="inlineStr">
        <is>
          <t>A</t>
        </is>
      </c>
      <c r="C80" s="15">
        <f>COUNTIF($H$5:$H$76,B80)</f>
        <v/>
      </c>
      <c r="D80" s="15">
        <f>SUMIF(Plan!$I$5:$I$76,B80,Plan!$E$5:$E$76)</f>
        <v/>
      </c>
      <c r="E80" s="36">
        <f>IF(Resumen!$C$17=0,0,D80/Resumen!$C$17)</f>
        <v/>
      </c>
      <c r="F80" s="37">
        <f>IFERROR(AVERAGEIF($H$5:$H$76,B80,$G$5:$G$76),0)</f>
        <v/>
      </c>
    </row>
    <row r="81">
      <c r="B81" s="18" t="inlineStr">
        <is>
          <t>B</t>
        </is>
      </c>
      <c r="C81" s="15">
        <f>COUNTIF($H$5:$H$76,B81)</f>
        <v/>
      </c>
      <c r="D81" s="15">
        <f>SUMIF(Plan!$I$5:$I$76,B81,Plan!$E$5:$E$76)</f>
        <v/>
      </c>
      <c r="E81" s="36">
        <f>IF(Resumen!$C$17=0,0,D81/Resumen!$C$17)</f>
        <v/>
      </c>
      <c r="F81" s="37">
        <f>IFERROR(AVERAGEIF($H$5:$H$76,B81,$G$5:$G$76),0)</f>
        <v/>
      </c>
    </row>
    <row r="82">
      <c r="B82" s="18" t="inlineStr">
        <is>
          <t>A+B</t>
        </is>
      </c>
      <c r="C82" s="15">
        <f>COUNTIF($H$5:$H$76,B82)</f>
        <v/>
      </c>
      <c r="D82" s="15">
        <f>SUMIF(Plan!$I$5:$I$76,B82,Plan!$E$5:$E$76)</f>
        <v/>
      </c>
      <c r="E82" s="36">
        <f>IF(Resumen!$C$17=0,0,D82/Resumen!$C$17)</f>
        <v/>
      </c>
      <c r="F82" s="37">
        <f>IFERROR(AVERAGEIF($H$5:$H$76,B82,$G$5:$G$76),0)</f>
        <v/>
      </c>
    </row>
    <row r="83">
      <c r="B83" s="19" t="inlineStr">
        <is>
          <t>Total</t>
        </is>
      </c>
      <c r="C83" s="9">
        <f>SUM(C80:C82)</f>
        <v/>
      </c>
      <c r="F83" s="11">
        <f>AVERAGE($G$5:$G$76)</f>
        <v/>
      </c>
    </row>
  </sheetData>
  <conditionalFormatting sqref="I5:I76">
    <cfRule type="expression" priority="1" dxfId="1">
      <formula>$I5="Hecho"</formula>
    </cfRule>
    <cfRule type="expression" priority="2" dxfId="2">
      <formula>$I5="En curso"</formula>
    </cfRule>
    <cfRule type="expression" priority="3" dxfId="3">
      <formula>$I5="Pendiente"</formula>
    </cfRule>
    <cfRule type="expression" priority="4" dxfId="4">
      <formula>$I5="Bloqueado"</formula>
    </cfRule>
  </conditionalFormatting>
  <conditionalFormatting sqref="G5:G76">
    <cfRule type="expression" priority="5" dxfId="17">
      <formula>G5&gt;0</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6"/>
  <sheetViews>
    <sheetView showGridLines="0" zoomScale="90" workbookViewId="0">
      <selection activeCell="A1" sqref="A1"/>
    </sheetView>
  </sheetViews>
  <sheetFormatPr baseColWidth="8" defaultRowHeight="15"/>
  <cols>
    <col width="6" customWidth="1" min="1" max="1"/>
    <col width="28" customWidth="1" min="2" max="2"/>
    <col width="58" customWidth="1" min="3" max="3"/>
    <col width="9" customWidth="1" min="4" max="4"/>
    <col width="9"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s>
  <sheetData>
    <row r="1">
      <c r="A1" s="1" t="inlineStr">
        <is>
          <t>Propuesta original (31-ago-2026) — plan por semanas</t>
        </is>
      </c>
    </row>
    <row r="2">
      <c r="A2" s="2" t="inlineStr">
        <is>
          <t>Tal como se presentó: 6 fases en máximo 8 semanas, en secuencia. Sirve de referencia contra el plan optimizado.</t>
        </is>
      </c>
    </row>
    <row r="4">
      <c r="A4" s="14" t="inlineStr">
        <is>
          <t>Fase</t>
        </is>
      </c>
      <c r="B4" s="14" t="inlineStr">
        <is>
          <t>Nombre</t>
        </is>
      </c>
      <c r="C4" s="14" t="inlineStr">
        <is>
          <t>Qué se realiza</t>
        </is>
      </c>
      <c r="D4" s="14" t="inlineStr">
        <is>
          <t>Semana inicio</t>
        </is>
      </c>
      <c r="E4" s="14" t="inlineStr">
        <is>
          <t>Semana fin</t>
        </is>
      </c>
      <c r="F4" s="38" t="n">
        <v>1</v>
      </c>
      <c r="G4" s="38" t="n">
        <v>2</v>
      </c>
      <c r="H4" s="38" t="n">
        <v>3</v>
      </c>
      <c r="I4" s="38" t="n">
        <v>4</v>
      </c>
      <c r="J4" s="38" t="n">
        <v>5</v>
      </c>
      <c r="K4" s="38" t="n">
        <v>6</v>
      </c>
      <c r="L4" s="38" t="n">
        <v>7</v>
      </c>
      <c r="M4" s="38" t="n">
        <v>8</v>
      </c>
    </row>
    <row r="5" ht="30" customHeight="1">
      <c r="A5" s="18" t="n">
        <v>1</v>
      </c>
      <c r="B5" s="4" t="inlineStr">
        <is>
          <t>Diseño y arquitectura</t>
        </is>
      </c>
      <c r="C5" s="7" t="inlineStr">
        <is>
          <t>Wireframes, modelo de datos y definición del stack (Next.js, Supabase, Resend).</t>
        </is>
      </c>
      <c r="D5" s="39" t="n">
        <v>1</v>
      </c>
      <c r="E5" s="39" t="n">
        <v>2</v>
      </c>
      <c r="F5" s="4" t="n"/>
      <c r="G5" s="4" t="n"/>
      <c r="H5" s="4" t="n"/>
      <c r="I5" s="4" t="n"/>
      <c r="J5" s="4" t="n"/>
      <c r="K5" s="4" t="n"/>
      <c r="L5" s="4" t="n"/>
      <c r="M5" s="4" t="n"/>
    </row>
    <row r="6" ht="30" customHeight="1">
      <c r="A6" s="18" t="n">
        <v>2</v>
      </c>
      <c r="B6" s="4" t="inlineStr">
        <is>
          <t>Landing y autenticación</t>
        </is>
      </c>
      <c r="C6" s="7" t="inlineStr">
        <is>
          <t>Página pública (misión, visión, servicios) y sistema de registro e inicio de sesión.</t>
        </is>
      </c>
      <c r="D6" s="39" t="n">
        <v>2</v>
      </c>
      <c r="E6" s="39" t="n">
        <v>3</v>
      </c>
      <c r="F6" s="4" t="n"/>
      <c r="G6" s="4" t="n"/>
      <c r="H6" s="4" t="n"/>
      <c r="I6" s="4" t="n"/>
      <c r="J6" s="4" t="n"/>
      <c r="K6" s="4" t="n"/>
      <c r="L6" s="4" t="n"/>
      <c r="M6" s="4" t="n"/>
    </row>
    <row r="7" ht="30" customHeight="1">
      <c r="A7" s="18" t="n">
        <v>3</v>
      </c>
      <c r="B7" s="7" t="inlineStr">
        <is>
          <t>Flujo de solicitud de crédito</t>
        </is>
      </c>
      <c r="C7" s="7" t="inlineStr">
        <is>
          <t>Formulario de solicitud (50 %/100 %, monto según tope), envío y notificación por correo.</t>
        </is>
      </c>
      <c r="D7" s="39" t="n">
        <v>3</v>
      </c>
      <c r="E7" s="39" t="n">
        <v>5</v>
      </c>
      <c r="F7" s="4" t="n"/>
      <c r="G7" s="4" t="n"/>
      <c r="H7" s="4" t="n"/>
      <c r="I7" s="4" t="n"/>
      <c r="J7" s="4" t="n"/>
      <c r="K7" s="4" t="n"/>
      <c r="L7" s="4" t="n"/>
      <c r="M7" s="4" t="n"/>
    </row>
    <row r="8" ht="30" customHeight="1">
      <c r="A8" s="18" t="n">
        <v>4</v>
      </c>
      <c r="B8" s="4" t="inlineStr">
        <is>
          <t>Panel de administración</t>
        </is>
      </c>
      <c r="C8" s="7" t="inlineStr">
        <is>
          <t>Dashboard de solicitudes y asociados, aprobación/rechazo y notificación automática de resultado.</t>
        </is>
      </c>
      <c r="D8" s="39" t="n">
        <v>5</v>
      </c>
      <c r="E8" s="39" t="n">
        <v>6</v>
      </c>
      <c r="F8" s="4" t="n"/>
      <c r="G8" s="4" t="n"/>
      <c r="H8" s="4" t="n"/>
      <c r="I8" s="4" t="n"/>
      <c r="J8" s="4" t="n"/>
      <c r="K8" s="4" t="n"/>
      <c r="L8" s="4" t="n"/>
      <c r="M8" s="4" t="n"/>
    </row>
    <row r="9" ht="30" customHeight="1">
      <c r="A9" s="18" t="n">
        <v>5</v>
      </c>
      <c r="B9" s="4" t="inlineStr">
        <is>
          <t>Convenios y pulido</t>
        </is>
      </c>
      <c r="C9" s="7" t="inlineStr">
        <is>
          <t>Sección de empresas aliadas y ajustes visuales, incluido el diseño responsive para celular.</t>
        </is>
      </c>
      <c r="D9" s="39" t="n">
        <v>6</v>
      </c>
      <c r="E9" s="39" t="n">
        <v>7</v>
      </c>
      <c r="F9" s="4" t="n"/>
      <c r="G9" s="4" t="n"/>
      <c r="H9" s="4" t="n"/>
      <c r="I9" s="4" t="n"/>
      <c r="J9" s="4" t="n"/>
      <c r="K9" s="4" t="n"/>
      <c r="L9" s="4" t="n"/>
      <c r="M9" s="4" t="n"/>
    </row>
    <row r="10" ht="30" customHeight="1">
      <c r="A10" s="18" t="n">
        <v>6</v>
      </c>
      <c r="B10" s="4" t="inlineStr">
        <is>
          <t>Pruebas y lanzamiento</t>
        </is>
      </c>
      <c r="C10" s="7" t="inlineStr">
        <is>
          <t>Pruebas con usuarios reales, corrección de errores, capacitación y despliegue en producción.</t>
        </is>
      </c>
      <c r="D10" s="39" t="n">
        <v>7</v>
      </c>
      <c r="E10" s="39" t="n">
        <v>8</v>
      </c>
      <c r="F10" s="4" t="n"/>
      <c r="G10" s="4" t="n"/>
      <c r="H10" s="4" t="n"/>
      <c r="I10" s="4" t="n"/>
      <c r="J10" s="4" t="n"/>
      <c r="K10" s="4" t="n"/>
      <c r="L10" s="4" t="n"/>
      <c r="M10" s="4" t="n"/>
    </row>
    <row r="12">
      <c r="A12" s="3" t="inlineStr">
        <is>
          <t>Qué cambia en el plan optimizado</t>
        </is>
      </c>
    </row>
    <row r="13">
      <c r="A13" s="40" t="inlineStr">
        <is>
          <t>• Las 6 fases se partieron en actividades pequeñas (hoja Plan), cada una con un peso de 1 a 5.</t>
        </is>
      </c>
    </row>
    <row r="14">
      <c r="A14" s="40" t="inlineStr">
        <is>
          <t>• En vez de ir fase por fase, dos filas de trabajo toman actividades de una cola común: lo que no depende de otra cosa avanza en paralelo.</t>
        </is>
      </c>
    </row>
    <row r="15">
      <c r="A15" s="40" t="inlineStr">
        <is>
          <t>• Se agregaron actividades que surgieron en el desarrollo (Origen = «Agregado»): ingreso con código, afiliación, importación de asociados, política de datos.</t>
        </is>
      </c>
    </row>
    <row r="16">
      <c r="A16" s="40" t="inlineStr">
        <is>
          <t>• Las fechas no se usan: el tiempo se mide en bloques y semanas relativas.</t>
        </is>
      </c>
    </row>
  </sheetData>
  <conditionalFormatting sqref="F5:M10">
    <cfRule type="expression" priority="1" dxfId="9">
      <formula>AND(F$4&gt;=$D5,F$4&lt;=$E5)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5"/>
  <sheetViews>
    <sheetView showGridLines="0" zoomScale="90" workbookViewId="0">
      <selection activeCell="A1" sqref="A1"/>
    </sheetView>
  </sheetViews>
  <sheetFormatPr baseColWidth="8" defaultRowHeight="15"/>
  <cols>
    <col width="7" customWidth="1" min="1" max="1"/>
    <col width="14" customWidth="1" min="2" max="2"/>
    <col width="9" customWidth="1" min="3" max="3"/>
    <col width="22" customWidth="1" min="4" max="4"/>
    <col width="60" customWidth="1" min="5" max="5"/>
    <col width="14" customWidth="1" min="6" max="6"/>
  </cols>
  <sheetData>
    <row r="1">
      <c r="A1" s="1" t="inlineStr">
        <is>
          <t>Escala de pesos (1 a 5)</t>
        </is>
      </c>
    </row>
    <row r="2">
      <c r="A2" s="2" t="inlineStr">
        <is>
          <t>El peso mide el esfuerzo de una actividad y define su largo en el Gantt.</t>
        </is>
      </c>
    </row>
    <row r="4">
      <c r="A4" s="14" t="inlineStr">
        <is>
          <t>Peso</t>
        </is>
      </c>
      <c r="B4" s="14" t="inlineStr">
        <is>
          <t>Nivel</t>
        </is>
      </c>
      <c r="C4" s="14" t="inlineStr">
        <is>
          <t>Bloques</t>
        </is>
      </c>
      <c r="D4" s="14" t="inlineStr">
        <is>
          <t>Equivale a</t>
        </is>
      </c>
      <c r="E4" s="14" t="inlineStr">
        <is>
          <t>Ejemplo del proyecto</t>
        </is>
      </c>
      <c r="F4" s="14" t="inlineStr">
        <is>
          <t>Actividades con este peso</t>
        </is>
      </c>
    </row>
    <row r="5">
      <c r="A5" s="18" t="n">
        <v>1</v>
      </c>
      <c r="B5" s="4" t="inlineStr">
        <is>
          <t>Muy baja</t>
        </is>
      </c>
      <c r="C5" s="8" t="n">
        <v>1</v>
      </c>
      <c r="D5" s="4" t="inlineStr">
        <is>
          <t>Media jornada</t>
        </is>
      </c>
      <c r="E5" s="7" t="inlineStr">
        <is>
          <t>Borrar /login y /dashboard; capacitación</t>
        </is>
      </c>
      <c r="F5" s="15">
        <f>COUNTIF(Plan!$D$5:$D$76,A5)</f>
        <v/>
      </c>
    </row>
    <row r="6">
      <c r="A6" s="18" t="n">
        <v>2</v>
      </c>
      <c r="B6" s="4" t="inlineStr">
        <is>
          <t>Baja</t>
        </is>
      </c>
      <c r="C6" s="8" t="n">
        <v>2</v>
      </c>
      <c r="D6" s="4" t="inlineStr">
        <is>
          <t>1 jornada</t>
        </is>
      </c>
      <c r="E6" s="7" t="inlineStr">
        <is>
          <t>SMTP con Resend; proteger /cuenta en proxy.ts</t>
        </is>
      </c>
      <c r="F6" s="15">
        <f>COUNTIF(Plan!$D$5:$D$76,A6)</f>
        <v/>
      </c>
    </row>
    <row r="7">
      <c r="A7" s="18" t="n">
        <v>3</v>
      </c>
      <c r="B7" s="4" t="inlineStr">
        <is>
          <t>Media</t>
        </is>
      </c>
      <c r="C7" s="8" t="n">
        <v>3</v>
      </c>
      <c r="D7" s="4" t="inlineStr">
        <is>
          <t>1,5 jornadas</t>
        </is>
      </c>
      <c r="E7" s="7" t="inlineStr">
        <is>
          <t>Verificación del código OTP; /cuenta con datos reales</t>
        </is>
      </c>
      <c r="F7" s="15">
        <f>COUNTIF(Plan!$D$5:$D$76,A7)</f>
        <v/>
      </c>
    </row>
    <row r="8">
      <c r="A8" s="18" t="n">
        <v>4</v>
      </c>
      <c r="B8" s="4" t="inlineStr">
        <is>
          <t>Alta</t>
        </is>
      </c>
      <c r="C8" s="8" t="n">
        <v>4</v>
      </c>
      <c r="D8" s="4" t="inlineStr">
        <is>
          <t>2 jornadas</t>
        </is>
      </c>
      <c r="E8" s="7" t="inlineStr">
        <is>
          <t>Panel /admin; afiliación con Resend; importar asociados</t>
        </is>
      </c>
      <c r="F8" s="15">
        <f>COUNTIF(Plan!$D$5:$D$76,A8)</f>
        <v/>
      </c>
    </row>
    <row r="9">
      <c r="A9" s="18" t="n">
        <v>5</v>
      </c>
      <c r="B9" s="4" t="inlineStr">
        <is>
          <t>Muy alta</t>
        </is>
      </c>
      <c r="C9" s="8" t="n">
        <v>5</v>
      </c>
      <c r="D9" s="4" t="inlineStr">
        <is>
          <t>2,5 jornadas o más</t>
        </is>
      </c>
      <c r="E9" s="7" t="inlineStr">
        <is>
          <t>Reservado para trabajos que conviene partir en dos</t>
        </is>
      </c>
      <c r="F9" s="15">
        <f>COUNTIF(Plan!$D$5:$D$76,A9)</f>
        <v/>
      </c>
    </row>
    <row r="11">
      <c r="A11" s="3" t="inlineStr">
        <is>
          <t>Reglas de simultaneidad</t>
        </is>
      </c>
    </row>
    <row r="12">
      <c r="A12" s="40" t="inlineStr">
        <is>
          <t>• Dos actividades pueden ir al mismo tiempo si ninguna depende (directa o indirectamente) de la otra.</t>
        </is>
      </c>
    </row>
    <row r="13">
      <c r="A13" s="40" t="inlineStr">
        <is>
          <t>• Hay 2 filas de trabajo: como máximo 2 actividades a la vez. Las demás esperan en la cola, que no tiene límite.</t>
        </is>
      </c>
    </row>
    <row r="14">
      <c r="A14" s="40" t="inlineStr">
        <is>
          <t>• «Simultánea: No» significa que la actividad ocupa las 2 filas (p. ej. el despliegue a producción).</t>
        </is>
      </c>
    </row>
    <row r="15">
      <c r="A15" s="40" t="inlineStr">
        <is>
          <t>• La equivalencia en jornadas se ajusta en Resumen → Bloques por semana.</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55"/>
  <sheetViews>
    <sheetView showGridLines="0" zoomScale="90" workbookViewId="0">
      <pane ySplit="4" topLeftCell="A5" activePane="bottomLeft" state="frozen"/>
      <selection pane="bottomLeft" activeCell="A1" sqref="A1"/>
    </sheetView>
  </sheetViews>
  <sheetFormatPr baseColWidth="8" defaultRowHeight="15"/>
  <cols>
    <col width="12" customWidth="1" min="1" max="1"/>
    <col width="28" customWidth="1" min="2" max="2"/>
    <col width="16" customWidth="1" min="3" max="3"/>
    <col width="40" customWidth="1" min="4" max="4"/>
    <col width="80" customWidth="1" min="5" max="5"/>
  </cols>
  <sheetData>
    <row r="1">
      <c r="A1" s="1" t="inlineStr">
        <is>
          <t>Bitácora de avances</t>
        </is>
      </c>
    </row>
    <row r="2">
      <c r="A2" s="2" t="inlineStr">
        <is>
          <t>Cada reporte de un agente que el supervisor aplicó al plan.</t>
        </is>
      </c>
    </row>
    <row r="4">
      <c r="A4" s="14" t="inlineStr">
        <is>
          <t>Fecha</t>
        </is>
      </c>
      <c r="B4" s="14" t="inlineStr">
        <is>
          <t>Agente</t>
        </is>
      </c>
      <c r="C4" s="14" t="inlineStr">
        <is>
          <t>Actividades</t>
        </is>
      </c>
      <c r="D4" s="14" t="inlineStr">
        <is>
          <t>Cambio</t>
        </is>
      </c>
      <c r="E4" s="14" t="inlineStr">
        <is>
          <t>Detalle</t>
        </is>
      </c>
    </row>
    <row r="5">
      <c r="A5" s="8" t="inlineStr">
        <is>
          <t>2026-09-27</t>
        </is>
      </c>
      <c r="B5" s="4" t="inlineStr">
        <is>
          <t>sesión principal</t>
        </is>
      </c>
      <c r="C5" s="8" t="inlineStr">
        <is>
          <t>6.18</t>
        </is>
      </c>
      <c r="D5" s="7" t="inlineStr">
        <is>
          <t>Se corrige la dependencia de 6.18: ya no depende de 1.8</t>
        </is>
      </c>
      <c r="E5" s="7" t="inlineStr">
        <is>
          <t>6.18 (fusionar rediseno-c-plus a develop) dependía por error de 1.8 (aplicar las 5 migraciones de backend del rediseño). El código del rediseño funciona sin esas migraciones (KPIs con su propio fallback, tope real leído de grados_credito, nota interna oculta detrás de HISTORIAL_NOTAS_INTERNAS_HABILITADO=false) y lo que sí las necesita queda oculto hasta que se apliquen. Con 6.17 y 6.19 en Hecho, el rediseño C+ queda completo y verificado de punta a punta en la rama rediseno-c-plus (9 commits locales sobre develop, sin push); 6.18 queda Pendiente solo de que Sebas autorice el push de la rama y abra el PR a develop.</t>
        </is>
      </c>
    </row>
    <row r="6">
      <c r="A6" s="8" t="inlineStr">
        <is>
          <t>2026-09-27</t>
        </is>
      </c>
      <c r="B6" s="4" t="inlineStr">
        <is>
          <t>sesión principal</t>
        </is>
      </c>
      <c r="C6" s="8" t="inlineStr">
        <is>
          <t>6.17; 3.10, 4.10</t>
        </is>
      </c>
      <c r="D6" s="7" t="inlineStr">
        <is>
          <t>Correcciones responsive del C+ (commit b0239a8): barra inferior siempre visible en vez de oculta hasta el primer scroll</t>
        </is>
      </c>
      <c r="E6" s="7" t="inlineStr">
        <is>
          <t>Se descartó la solución de ga-diseno-a-codigo de ocultar la barra inferior de /cuenta y /asesor hasta el primer scroll (con `inert`) porque ocultar la navegación principal al cargar la página perjudicaba la usabilidad y la accesibilidad. En su lugar, la barra queda siempre visible con espacio reservado al final de la página. Incluye también las correcciones de admin en celular y de la vista en tarjetas de /admin/sorteo, y el contraste de /admin/demo. e2e k-roles, c-cuenta y f-accesibilidad en verde (50 pasadas) tras `supabase db reset`.</t>
        </is>
      </c>
    </row>
    <row r="7">
      <c r="A7" s="8" t="inlineStr">
        <is>
          <t>2026-09-27</t>
        </is>
      </c>
      <c r="B7" s="4" t="inlineStr">
        <is>
          <t>sesión principal</t>
        </is>
      </c>
      <c r="C7" s="8" t="inlineStr">
        <is>
          <t>4.11; 6.17</t>
        </is>
      </c>
      <c r="D7" s="7" t="inlineStr">
        <is>
          <t>Hallazgo 0 corregido en producción del rediseño (commit 846657b): colores del admin oscuro en su propio grupo de Tailwind</t>
        </is>
      </c>
      <c r="E7" s="7" t="inlineStr">
        <is>
          <t>Los colores bg-admin-*/text-admin-* estaban anidados bajo la paleta ga en tailwind.config.ts, por lo que Tailwind nunca generaba esas clases y el panel /admin se veía blanco/sin tema oscuro en todos los anchos. Se movieron a su propio grupo admin en tailwind.config.ts; pruebas de responsive actualizadas en el mismo commit.</t>
        </is>
      </c>
    </row>
    <row r="8">
      <c r="A8" s="8" t="inlineStr">
        <is>
          <t>2026-09-27</t>
        </is>
      </c>
      <c r="B8" s="4" t="inlineStr">
        <is>
          <t>ga-diseno-a-codigo</t>
        </is>
      </c>
      <c r="C8" s="8" t="inlineStr">
        <is>
          <t>6.17</t>
        </is>
      </c>
      <c r="D8" s="7" t="inlineStr">
        <is>
          <t>Corregidos todos los hallazgos del informe de responsive; 6.17 pasa a Hecho en su parte de código</t>
        </is>
      </c>
      <c r="E8" s="7" t="inlineStr">
        <is>
          <t>Confirmado con capturas que el hallazgo 0 (colores admin-* fuera de la clave ga) ya estaba resuelto en el código. De paso, axe encontró y se corrigió un contraste nuevo: EncabezadoAdmin se volvía transparente en escritorio asumiendo que siempre estaría sobre el fondo oscuro del admin, pero en /admin/demo esa misma barra flota sobre el fondo claro de la vista de asociado. Corregidos también: flex-wrap en el filtro de /admin/creditos, controles del encabezado móvil del admin a 44×44, tabla de /admin/sorteo con versión en tarjetas, botones de /cuenta/solicitar y casillas OTP a 44px, selects de /admin/sorteo a 16px. La corrección de la barra inferior flotante de /cuenta y /asesor de este commit (ocultarla hasta el primer scroll con `inert`) fue reemplazada después por la sesión principal, ver el siguiente asiento. tsc, lint, build, vitest (316/316) y playwright k-roles+f-accesibilidad (36/36, 6 skip esperados) en verde tras `npx supabase db reset`.</t>
        </is>
      </c>
    </row>
    <row r="9">
      <c r="A9" s="8" t="inlineStr">
        <is>
          <t>2026-09-27</t>
        </is>
      </c>
      <c r="B9" s="4" t="inlineStr">
        <is>
          <t>ga-verificador-responsive</t>
        </is>
      </c>
      <c r="C9" s="8" t="inlineStr">
        <is>
          <t>6.19</t>
        </is>
      </c>
      <c r="D9" s="7" t="inlineStr">
        <is>
          <t>Verificación responsive de punta a punta del rediseño C+; 6.19 pasa a Hecho</t>
        </is>
      </c>
      <c r="E9" s="7" t="inlineStr">
        <is>
          <t>15 rutas × 10 anchos (320-1920 px) + horizontal 844×390, Playwright/Chrome contra Supabase local. 9 hallazgos responsive (5 críticos: barra inferior flotante tapaba contenido real en /cuenta y /asesor, scroll horizontal real en /admin/creditos, botones &lt;44px en el encabezado móvil del admin, tabla de /admin/sorteo sin versión en tarjetas; 4 menores) más 1 hallazgo crítico fuera del alcance responsive estricto: los colores bg-admin-*/text-admin-* no existían en el CSS compilado (tailwind.config.ts los anidaba bajo la paleta ga en vez de un grupo propio admin), así que el panel se veía sin tema oscuro. tests/responsive/responsive.spec.ts y logo-y-fotos.spec.ts actualizados. No se pudo probar /admin/* en horizontal por el límite diario de reenvío de código del correo de prueba (no es un hallazgo nuevo). Informe: docs/verificaciones/2026-09-27-rediseno-c-plus-responsive.md.</t>
        </is>
      </c>
    </row>
    <row r="10">
      <c r="A10" s="8" t="inlineStr">
        <is>
          <t>2026-09-27</t>
        </is>
      </c>
      <c r="B10" s="4" t="inlineStr">
        <is>
          <t>sesión principal</t>
        </is>
      </c>
      <c r="C10" s="8" t="inlineStr">
        <is>
          <t>4.11; P-99, P-100, P-101, P-102, P-103</t>
        </is>
      </c>
      <c r="D10" s="7" t="inlineStr">
        <is>
          <t>H1 corregido (tasa de interés fuera del payload de /cuenta) y H2/B-01 cerrados (cédula de las «hermanas» enmascarada en servidor, testimonios de ejemplo ocultos)</t>
        </is>
      </c>
      <c r="E10" s="7" t="inlineStr">
        <is>
          <t>Commit e650033: la tasa de interés ya no viaja al navegador del asociado en /cuenta ni /cuenta/solicitar (hallazgo H1 de ga-revisor-seguridad; el problema también estaba en producción desde el 25-sep, se sugiere llevarlo también a main). Queda un residuo (P-100): un asociado podría seguir leyendo la tasa consultando la API directo con su sesión (la RLS le deja leer sus solicitudes y grados_credito); ocultarlo del todo requiere una migración de permisos por columna, a decisión de Sebas. Commit fdab456: cédula de las «hermanas» del detalle de afiliación enmascarada en el servidor (cierra H2/M-01, P-101) y sección de testimonios de la landing oculta mientras tenga textos de ejemplo (cierra B-01, P-102; D-07 queda abierto como pedido de diseño en P-103: contenido real de testimonios y si la sección se mantiene). e2e de landing y k-roles vueltos a correr en verde.</t>
        </is>
      </c>
    </row>
    <row r="11">
      <c r="A11" s="8" t="inlineStr">
        <is>
          <t>2026-09-27</t>
        </is>
      </c>
      <c r="B11" s="4" t="inlineStr">
        <is>
          <t>ga-verificador-qa</t>
        </is>
      </c>
      <c r="C11" s="8" t="inlineStr">
        <is>
          <t>4.11, P-94, P-71; 6.16 pasa a Hecho; nuevos P-102, P-103</t>
        </is>
      </c>
      <c r="D11" s="7" t="inlineStr">
        <is>
          <t>QA completo del rediseño C+ en verde: 161/162 escritorio, 129/129 celular</t>
        </is>
      </c>
      <c r="E11" s="7" t="inlineStr">
        <is>
          <t>QA de punta a punta contra Supabase local (escritorio 1280×800, celular 390×844). Actualizó las pruebas desactualizadas por el rediseño: a-navegacion (nav sin «Historias»), e-diseno (reescrita casi entera, textos verificados contra el código), afiliación v2 en utils.ts/f-accesibilidad (cierra P-94), aprobar en 2 pasos + atajos de teclado + KPIs + nota interna oculta (k-roles), máscara de correo con dominio oculto en b-ingreso y j-produccion (cierra P-71; i-despliegue ya usaba el formato nuevo). Agregó pruebas de reduced-motion y de que ninguna pantalla diga «Correo institucional». De paso corrigió una prueba de seguridad de i-despliegue que fallaba por una causa ajena al rediseño (React 19 ya no serializa el DOM en un `&lt;form action={...}&gt;`), reescribiéndola con intercepción de red. Hallazgos: 1 Media (cédula de las «hermanas», ya reportada por ga-revisor-seguridad, ver P-101) y 2 Bajos (testimonios de ejemplo con corchetes en la landing, ver P-102/P-103; y los marcadores ya conocidos de /politica-de-datos). 0 violaciones de axe en 19 combinaciones. Informe en docs/verificaciones/2026-09-27-rediseno-c-plus-qa.md.</t>
        </is>
      </c>
    </row>
    <row r="12">
      <c r="A12" s="8" t="inlineStr">
        <is>
          <t>2026-09-27</t>
        </is>
      </c>
      <c r="B12" s="4" t="inlineStr">
        <is>
          <t>ga-revisor-seguridad</t>
        </is>
      </c>
      <c r="C12" s="8" t="inlineStr">
        <is>
          <t>4.11; nuevos P-99, P-100, P-101</t>
        </is>
      </c>
      <c r="D12" s="7" t="inlineStr">
        <is>
          <t>Revisión de seguridad del rediseño C+ aprobada; 2 fugas de datos confirmadas (no introducidas por el rediseño)</t>
        </is>
      </c>
      <c r="E12" s="7" t="inlineStr">
        <is>
          <t>Revisó el diff completo de rediseno-c-plus contra develop (app, components, lib, proxy.ts, supabase): sin cambios en Server Actions ni en proxy.ts, el asesor sigue sin ver datos sensibles de sus clientes, la aprobación en 2 pasos exige confirmar, el login no cambió en funcionalidad. Encontró 2 hallazgos de fuga de datos al payload del cliente, vigentes desde antes de este diff: la tasa de interés viaja en las props de CuentaCliente aunque no se renderice (H1, ver P-99/P-100) y la cédula sin enmascarar de las «hermanas» viaja completa al detalle de afiliación aunque se muestre enmascarada (H2, ver P-101). Revisó también las 5 migraciones propuestas de 1.8 (bien construidas, coherentes con el flag de nota interna). npm audit --omit=dev: 0 vulnerabilidades. Pidió a ga-funcionalidad-botones corregir ambas fugas y a Sebas decidir sobre las 5 migraciones de 1.8.</t>
        </is>
      </c>
    </row>
    <row r="13">
      <c r="A13" s="8" t="inlineStr">
        <is>
          <t>2026-09-27</t>
        </is>
      </c>
      <c r="B13" s="4" t="inlineStr">
        <is>
          <t>ga-funcionalidad-botones</t>
        </is>
      </c>
      <c r="C13" s="8" t="inlineStr">
        <is>
          <t>4.11</t>
        </is>
      </c>
      <c r="D13" s="7" t="inlineStr">
        <is>
          <t>KPIs reales, tope real de grados_credito y nota interna oculta en el admin C+</t>
        </is>
      </c>
      <c r="E13" s="7" t="inlineStr">
        <is>
          <t>Cerró los 2 frentes de backend que dejó abiertos el maquetado del admin en modo oscuro (commit e39ad72): (1) los 4 KPI de /admin/creditos ahora son siempre exactos (lib/admin/kpis.ts: 3 conteos exactos + suma de aprobadas del mes, con el cliente de sesión del admin vía RLS, sin service role; mes calendario en hora de Colombia; pruebas nuevas en tests/unit/admin-kpis.test.ts); (2) el aviso «Dentro/Supera el tope» y el bloqueo de «Aprobar» usan el tope real de grados_credito (cargarPaquetesDemo, con su fallback a la copia estática). Ocultó el textarea de «Nota interna» detrás de HISTORIAL_NOTAS_INTERNAS_HABILITADO=false (lib/admin/flags.ts) con un TODO(backend) hacia la migración sin aplicar 20260925200200_historial_y_notas_internas.sql. Confirmó sin cambios de código que la aprobación en 2 pasos, el rechazo con motivo obligatorio, los atajos J/K/A/R/Esc y el invariante monto≤tope (triggers de la base) siguen intactos. tsc, lint, build y 316 pruebas de vitest (19 archivos) en verde. Sin commits. Sin bloqueos nuevos; sigue pendiente 1.8 (migraciones sin aplicar) para conectar una Server Action a agregar_nota_solicitud() y activar la bandera.</t>
        </is>
      </c>
    </row>
    <row r="14">
      <c r="A14" s="8" t="inlineStr">
        <is>
          <t>2026-09-27</t>
        </is>
      </c>
      <c r="B14" s="4" t="inlineStr">
        <is>
          <t>ga-diseno-a-codigo</t>
        </is>
      </c>
      <c r="C14" s="8" t="inlineStr">
        <is>
          <t>4.11</t>
        </is>
      </c>
      <c r="D14" s="7" t="inlineStr">
        <is>
          <t>Panel del admin C+ en modo oscuro maquetado en código; 4.11 pasa a Hecho</t>
        </is>
      </c>
      <c r="E14" s="7" t="inlineStr">
        <is>
          <t>Maquetó el panel de administración completo en modo oscuro (piezas 2d y 3e–3h): Créditos (menú lateral, 4 KPI con guion donde falta consulta nueva, búsqueda, filtro, lista+ficha, aprobar en 2 pasos, rechazar con motivo obligatorio, nota interna e historial UI), Afiliaciones (lista+ficha, visor de 3 fotos con sus 3 estados, aprobar/rechazar en 2 pasos, WhatsApp deshabilitado por P-95), Asesores y Sorteo con el mismo restyle, y EncabezadoAdmin (patrón de celular) también en /admin/demo. Tokens nuevos en globals.css/tailwind.config.ts. tsc, lint, build y 311 pruebas de vitest en verde. Commit local e39ad72 en rediseno-c-plus (junto con 4.10). Pasa a Hecho en maquetación con 2 frentes abiertos: (1) tests/e2e/k-roles.spec.ts va a fallar porque Aprobar ahora pide un segundo clic «Sí, aprobar» — hace falta que ga-verificador-qa/ga-escritor-tests actualicen ese paso; (2) sin backend nuevo, KPIs completos, tope real desde grados_credito y nota interna/historial reales siguen bloqueados por las 5 migraciones de 1.8 (docs/auditorias/2026-09-25-backend-rediseno-c-plus.md), sin aplicar.</t>
        </is>
      </c>
    </row>
    <row r="15">
      <c r="A15" s="8" t="inlineStr">
        <is>
          <t>2026-09-27</t>
        </is>
      </c>
      <c r="B15" s="4" t="inlineStr">
        <is>
          <t>ga-diseno-a-codigo</t>
        </is>
      </c>
      <c r="C15" s="8" t="inlineStr">
        <is>
          <t>4.10; nuevo P-98</t>
        </is>
      </c>
      <c r="D15" s="7" t="inlineStr">
        <is>
          <t>Panel del asesor C+ maquetado en código; 4.10 pasa a Hecho</t>
        </is>
      </c>
      <c r="E15" s="7" t="inlineStr">
        <is>
          <t>Maquetó /asesor y /asesor/demo siguiendo las piezas 2c/3h del lienzo: EncabezadoAsesor en píldora, tarjetas de resumen con categoría de afiliación, chips de filtro, buscador, tabla de 5 columnas reescrita (sin datos de contacto), estado vacío, transición de lista y barra inferior en celular; agregó el marco ámbar de demostración compartido con /admin/demo y el estado «neutral» a Badge. tsc, lint, build y 311 pruebas de vitest en verde. Commit local e39ad72 en rediseno-c-plus. Documentó como pedido D-06 (docs/diseno/pedidos.md) la falta de regla de diseño para categorizar asociados ya afiliados (no solo solicitudes) en las tarjetas/chips; se registra como decisión provisional de la sesión principal, pendiente de que Sebas la confirme (nuevo pendiente P-98).</t>
        </is>
      </c>
    </row>
    <row r="16">
      <c r="A16" s="8" t="inlineStr">
        <is>
          <t>2026-09-27</t>
        </is>
      </c>
      <c r="B16" s="4" t="inlineStr">
        <is>
          <t>ga-diseno-a-codigo</t>
        </is>
      </c>
      <c r="C16" s="8" t="inlineStr">
        <is>
          <t>3.10</t>
        </is>
      </c>
      <c r="D16" s="7" t="inlineStr">
        <is>
          <t>Panel del asociado C+ maquetado en código; 3.10 pasa a Hecho</t>
        </is>
      </c>
      <c r="E16" s="7" t="inlineStr">
        <is>
          <t>Maquetó /cuenta y /cuenta/solicitar siguiendo las piezas 2b/3d del lienzo: EncabezadoCuenta en píldora flotante, comprobante «Tu solicitud» con sello y pasos animados, insignia de estado con color real, tope con medidor, carné de asociado (institución/activo como props opcionales sin usar, TODO backend), franja del sorteo, barra inferior en celular y deslizador de monto propio en /cuenta/solicitar; agregó enmascararCedula a lib/mascara.ts. tsc, lint, build y 311 pruebas de vitest en verde; no corrió Playwright (requiere Supabase local). Commit local 51da63f en rediseno-c-plus. «Tu camino a la estabilidad» sigue sin renderizarse por P-90 (fecha del primer descuento del embargo solidario); el carné de asociado sigue esperando institución/activo en perfiles (1.8). Falta correr tests/e2e/c-cuenta, h-credito, i-despliegue, j-produccion y k-roles contra Supabase local (ga-verificador-qa).</t>
        </is>
      </c>
    </row>
    <row r="17">
      <c r="A17" s="8" t="inlineStr">
        <is>
          <t>2026-09-25</t>
        </is>
      </c>
      <c r="B17" s="4" t="inlineStr">
        <is>
          <t>ga-diseno-a-codigo</t>
        </is>
      </c>
      <c r="C17" s="8" t="inlineStr">
        <is>
          <t>1.7, 2.15</t>
        </is>
      </c>
      <c r="D17" s="7" t="inlineStr">
        <is>
          <t>Componentes base y maquetación C+ de ingreso/afiliación llevados a código; 2.15 pasa a Hecho</t>
        </is>
      </c>
      <c r="E17" s="7" t="inlineStr">
        <is>
          <t>Reestilizó components/ui/* (Button, Input, Select, Textarea, Checkbox, Field, OtpInput, Badge, ProgressSteps, PasosSolicitud, carga de foto) según la pieza 3a, y maquetó /ingresar, /ingresar/codigo, /afiliacion y /afiliacion/enviada según 3b/3c con sus animaciones (foco animado, sacudida del OTP en código inválido, aro que se vacía en «Reenviar código», vista previa de foto y sello del comprobante). tsc, lint, build y las 308 pruebas de vitest pasan. 2.15 pasa a Hecho en código; queda pendiente P-94 (correr tests/e2e/b-ingreso.spec.ts y d-afiliacion.spec.ts contra estos cambios con Supabase local, no corridos en este reporte). tests/e2e/e-diseno.spec.ts sigue desactualizado desde antes de esta tanda (ya cubierto por 6.16). El commit local 63d4b4d en la rama rediseno-c-plus guarda este avance junto con el trabajo de ga-disenador-lienzo (tokens, Bricolage, landing, componentes base, ingreso y afiliación, lienzo completo 3a–3h).</t>
        </is>
      </c>
    </row>
    <row r="18">
      <c r="A18" s="8" t="inlineStr">
        <is>
          <t>2026-09-25</t>
        </is>
      </c>
      <c r="B18" s="4" t="inlineStr">
        <is>
          <t>ga-disenador-lienzo</t>
        </is>
      </c>
      <c r="C18" s="8" t="inlineStr">
        <is>
          <t>3.10, 4.10, 4.11</t>
        </is>
      </c>
      <c r="D18" s="7" t="inlineStr">
        <is>
          <t>Lienzo C+ completo: piezas 3d (asociado) y 3e–3h (admin)</t>
        </is>
      </c>
      <c r="E18" s="7" t="inlineStr">
        <is>
          <t>Pedido D-04/D-05 cerrado: agregó al lienzo docs/Green Alliance C+.dc.html la pieza 3d (asociado: /cuenta/solicitar, estado vacío, Mis datos y la boleta del sorteo con sus 3 pasos) y las piezas 3e–3h (admin: detalle de afiliación, Asesores, Sorteo, pestaña Demostración y el patrón del admin en celular), con escritorio, celular y todos los estados reales. El diseño en el lienzo de asociado, asesor y admin queda completo; 3.10, 4.10 y 4.11 siguen En curso porque falta maquetar en código (ga-diseno-a-codigo). Casi todas las piezas 3d–3h usan componentes/rutas que ya existen, salvo el botón «Escribir por WhatsApp» del detalle de afiliación (nuevo, ver P-95). Nuevos pendientes de decisión para la cooperativa: P-95 (botón WhatsApp), P-96 (asignar/desactivar el asesor de un asociado, sin proceso definido) y P-97 (motivo de rechazo visible en el detalle de afiliación, requiere migración; relacionado con P-69/5.10). Ajuste de estilo pendiente de aplicar en código: franja azul → marco ámbar en /admin/demo (3h) y la corrección «Correo institucional» → «Correo» en 2d (ya hecha en el lienzo).</t>
        </is>
      </c>
    </row>
    <row r="19">
      <c r="A19" s="8" t="inlineStr">
        <is>
          <t>2026-09-25</t>
        </is>
      </c>
      <c r="B19" s="4" t="inlineStr">
        <is>
          <t>ga-diseno-a-codigo</t>
        </is>
      </c>
      <c r="C19" s="8" t="inlineStr">
        <is>
          <t>1.7, 2.14; nuevo 6.16</t>
        </is>
      </c>
      <c r="D19" s="7" t="inlineStr">
        <is>
          <t>Tokens y landing del rediseño C+ llevados a código</t>
        </is>
      </c>
      <c r="E19" s="7" t="inlineStr">
        <is>
          <t>Tokens del rediseño C+ agregados a app/globals.css y tailwind.config.ts (colores claro/oscuro, radios grandes, sombras, curva «spring», utilidades de movimiento con red de seguridad prefers-reduced-motion), reconciliados con la pieza 3a del lienzo; Bricolage Grotesque (600/800) cargada junto a Manrope en app/layout.tsx. 1.7 pasa a Hecho (tokens en el lienzo y en código). Landing reescrita (components/pantallas/Landing.tsx) siguiendo la pieza 2a: header píldora, hero con comprobante vivo, misión/visión, «Si hoy el banco te dice que no…», servicios, convenios, sedes, footer; dos componentes cliente nuevos MatrizCirculos y ComprobanteSolicitud, sin librerías nuevas. npx tsc --noEmit, npm run lint y npm run build pasan. Nueva actividad 2.14 (Hecho, peso 4, depende de 2.1 y 1.7). Trabajo nuevo: 6.16 (actualizar tests/e2e/e-diseno.spec.ts, tests/e2e/a-navegacion.spec.ts y tests/responsive/logo-y-fotos.spec.ts, que quedaron desactualizados por el cambio de copy y de layout del hero) y pendiente P-93 (confirmar las cifras nuevas de la landing con la cooperativa). ga-disenador-lienzo dejó 3b/3c (ingreso y afiliación en estilo C+) pendientes de maquetar en código (2.15).</t>
        </is>
      </c>
    </row>
    <row r="20">
      <c r="A20" s="8" t="inlineStr">
        <is>
          <t>2026-09-25</t>
        </is>
      </c>
      <c r="B20" s="4" t="inlineStr">
        <is>
          <t>ga-disenador-lienzo</t>
        </is>
      </c>
      <c r="C20" s="8" t="inlineStr">
        <is>
          <t>1.7, 2.15, 3.10, 4.10, 4.11</t>
        </is>
      </c>
      <c r="D20" s="7" t="inlineStr">
        <is>
          <t>Lienzo C+ ampliado: design system, Ingreso y Afiliación (piezas 3a/3b/3c)</t>
        </is>
      </c>
      <c r="E20" s="7" t="inlineStr">
        <is>
          <t>En docs/Green Alliance C+.dc.html, sección t3 con 3 piezas nuevas: 3a design system C+ (tokens claro/oscuro, tipografía, espaciado, radios, sombras, movimiento con nombre, 16 componentes con sus estados), 3b Ingreso (/ingresar y /ingresar/codigo, normal/cargando/código inválido/bloqueado/éxito) y 3c Afiliación (/afiliacion y /afiliacion/enviada, errores por campo, foto con error, envío, cédula con solicitud pendiente); corrigió además «Correo institucional» → «Correo» en 2d (parte de D-05). D-01, D-02 y D-03 marcados Resuelto en docs/diseno/pedidos.md; 3 filas nuevas en docs/diseno/lienzo-indice.md. Script y etiquetas del lienzo verificados (JS válido, sc-for/sc-if y &lt;div&gt; balanceados). Nuevas actividades: 1.7 (Hecho, la parte de diseño de tokens), 2.15 (diseño de ingreso/afiliación C+ Hecho, código todavía no empezado), 3.10 (asociado C+, diseño en curso vía D-04, prioridad media) y 4.10/4.11 (asesor y admin C+, diseño en curso vía D-05, falta detalle de Asesores/Sorteo/Demostración/admin en celular).</t>
        </is>
      </c>
    </row>
    <row r="21">
      <c r="A21" s="8" t="inlineStr">
        <is>
          <t>2026-09-25</t>
        </is>
      </c>
      <c r="B21" s="4" t="inlineStr">
        <is>
          <t>ga-auditor-supabase</t>
        </is>
      </c>
      <c r="C21" s="8" t="inlineStr">
        <is>
          <t>1.8; P-47, P-90, P-91, P-92</t>
        </is>
      </c>
      <c r="D21" s="7" t="inlineStr">
        <is>
          <t>Auditoría de backend para el rediseño C+: 5 migraciones propuestas sin aplicar</t>
        </is>
      </c>
      <c r="E21" s="7" t="inlineStr">
        <is>
          <t>Trabajo nuevo pedido por Sebas hoy (rama rediseno-c-plus, lienzo docs/Green Alliance C+.dc.html). Análisis de brechas de backend para las piezas 2b/2c/2d del lienzo contra supabase/migrations/, sin MCP de Supabase en esta sesión (solo contra el repo, falta confirmar contra producción); informe en docs/auditorias/2026-09-25-backend-rediseno-c-plus.md. 5 migraciones nuevas sin aplicar: preferencia de aviso del sorteo, institución/activo en perfiles, historial + nota interna del admin, Realtime de solicitudes e índices de búsqueda opcionales. Nueva actividad 1.8 (peso 2, depende de 1.6). Preguntas abiertas para la cooperativa: estado «Desembolso» (ya era P-47, se anota la coincidencia), origen de la fecha del primer descuento del embargo solidario (P-90), proceso para dar de baja a un asociado (P-91) y quién dispara el correo del aviso del sorteo (P-92).</t>
        </is>
      </c>
    </row>
    <row r="22">
      <c r="A22" s="8" t="inlineStr">
        <is>
          <t>2026-09-25</t>
        </is>
      </c>
      <c r="B22" s="7" t="inlineStr">
        <is>
          <t>sesión principal (despliegue PR #2)</t>
        </is>
      </c>
      <c r="C22" s="8" t="inlineStr">
        <is>
          <t>4.9; P-83, P-84, P-85, P-89</t>
        </is>
      </c>
      <c r="D22" s="7" t="inlineStr">
        <is>
          <t>Despliegue confirmado en producción: 4.9, P-83, P-84, P-85 y P-89 pasan a Hecho</t>
        </is>
      </c>
      <c r="E22" s="7" t="inlineStr">
        <is>
          <t>Sebas fusionó el PR #2 develop → main (merge 2c19d02) y Vercel desplegó. Comprobado por HTTP en www.greenallianceco.com: WhatsApp «311 724 1942» (P-84), «Vigilada por Supersolidaria», /afiliacion sin exigir correo institucional (P-85), correos de Resend con NOMBRE/MOTIVO escapados (P-83), y /admin/demo y /asesor/demo redirigen a /ingresar sin sesión (4.9, P-89). La migración 20260925194922 ya estaba aplicada en producción. Falta que Sebas abra /admin/demo con su propia sesión para confirmarla a ojo.</t>
        </is>
      </c>
    </row>
    <row r="23">
      <c r="A23" s="8" t="inlineStr">
        <is>
          <t>2026-09-25</t>
        </is>
      </c>
      <c r="B23" s="7" t="inlineStr">
        <is>
          <t>sesión principal (coordinador)</t>
        </is>
      </c>
      <c r="C23" s="8" t="inlineStr">
        <is>
          <t>4.9; P-83, P-84, P-85, P-89; 6.15</t>
        </is>
      </c>
      <c r="D23" s="7" t="inlineStr">
        <is>
          <t>Cuenta demo para admin, máscara de correo sin dominio y cierre de P-86/P-87</t>
        </is>
      </c>
      <c r="E23" s="7" t="inlineStr">
        <is>
          <t>Nueva pestaña «Demostración» en /admin/demo: reutiliza la cuenta fantasma de /asesor/demo (selector de grado, no guarda nada, solo lee grados_credito), lectura compartida en lib/asesor/cargarPaquetesDemo.ts, un asesor no puede entrar; nueva actividad 4.9 (peso 2, depende de 4.1 y 4.6) y pendiente P-89, ambos En curso hasta desplegar. F-01 revisado por el cambio a correo de cualquier dominio (P-85): la máscara ahora oculta también el dominio, formato «xx•••@•••»; 6.15 suma nota con el formato nuevo. La migración 20260925194922_correo_afiliacion_cualquier_dominio ya estaba aplicada en producción; el archivo local se renombró a esa versión para que el historial coincida. P-83, P-84 y P-85 siguen En curso: corregidos en local (con pruebas), en el commit de hoy, falta desplegar. P-86 y P-87 confirmados Hecho (sin cambios). Verificado: tsc, eslint, 308 unitarias, 222 pgTAP, 53 e2e de escritorio (k-roles + d-afiliacion) y build.</t>
        </is>
      </c>
    </row>
    <row r="24">
      <c r="A24" s="8" t="inlineStr">
        <is>
          <t>2026-09-25</t>
        </is>
      </c>
      <c r="B24" s="4" t="inlineStr">
        <is>
          <t>sesión principal</t>
        </is>
      </c>
      <c r="C24" s="8" t="inlineStr">
        <is>
          <t>5.3; P-13</t>
        </is>
      </c>
      <c r="D24" s="7" t="inlineStr">
        <is>
          <t>Texto de vigilancia de Supersolidaria confirmado</t>
        </is>
      </c>
      <c r="E24" s="7" t="inlineStr">
        <is>
          <t>Sebas confirmó que la cooperativa está vigilada por la Supersolidaria; TEXTO_VIGILANCIA (lib/config.ts) pasa de «[Vigilada por Supersolidaria — confirmar]» a «Vigilada por Supersolidaria» en local, con tests/e2e/e-diseno.spec.ts ajustado. P-13 pasa a Hecho; 5.3 actualiza su bloqueo (quedan fotos/cifras/testimonios, nombres de los grados y estado de desembolso). Falta desplegar (commit + merge a main).</t>
        </is>
      </c>
    </row>
    <row r="25">
      <c r="A25" s="8" t="inlineStr">
        <is>
          <t>2026-09-25</t>
        </is>
      </c>
      <c r="B25" s="4" t="inlineStr">
        <is>
          <t>ga-verificador-qa</t>
        </is>
      </c>
      <c r="C25" s="8" t="inlineStr">
        <is>
          <t>6.3; nuevos P-84, P-86, P-87</t>
        </is>
      </c>
      <c r="D25" s="7" t="inlineStr">
        <is>
          <t>QA de producción: con observaciones</t>
        </is>
      </c>
      <c r="E25" s="7" t="inlineStr">
        <is>
          <t>Playwright en escritorio (1280×800) y celular (390×844) contra www.greenallianceco.com (main, merge 5a39d34), sin enviar el formulario de afiliación ni pedir códigos reales. Landing, /ingresar, /afiliacion, /politica-de-datos, redirecciones de /admin, /asesor y /cuenta sin sesión, 404 y cabeceras de seguridad correctos y fieles al diseño; axe sin violaciones serias/críticas. 6.3 sigue En curso porque depende de 6.1, 5.3, 5.4, 2.11 y 5.6, que no están Hecho. Hallazgos: A-01 (Alta, la ayuda del dominio de correo institucional en /afiliacion no se actualiza en vivo al elegir Policía/Ejército) → nuevo pendiente P-86, condicionado a P-85; M-01 (Media, el WhatsApp se muestra sin espacios por un typo de regex en lib/config.ts) → nuevo pendiente P-84, ya corregido en local con pruebas (tests/unit/config-whatsapp.test.ts), falta desplegar; M-02 (Media, greenallianceco.com a veces sirve 200 en vez de redirigir 308 a www) → nuevo pendiente P-87 para Sebas en Vercel → Domains; M-03 (texto de vigilancia) ya resuelto, ver P-13. Informe completo en docs/verificaciones/2026-09-25-produccion.md.</t>
        </is>
      </c>
    </row>
    <row r="26">
      <c r="A26" s="8" t="inlineStr">
        <is>
          <t>2026-09-25</t>
        </is>
      </c>
      <c r="B26" s="4" t="inlineStr">
        <is>
          <t>sesión principal</t>
        </is>
      </c>
      <c r="C26" s="8" t="inlineStr">
        <is>
          <t>2.12; nuevo P-85</t>
        </is>
      </c>
      <c r="D26" s="7" t="inlineStr">
        <is>
          <t>El formulario de afiliación acepta correo de cualquier dominio</t>
        </is>
      </c>
      <c r="E26" s="7" t="inlineStr">
        <is>
          <t>Antes exigía @policia.gov.co / @ejercito.mil.co según la institución; se cambió el esquema zod, el campo «Correo electrónico» y las pruebas unitarias, e2e y pgTAP. Migración 20260925194922_correo_afiliacion_cualquier_dominio aplicada en producción (quita el chk de dominio institucional, mantiene el de formato). Nuevo pendiente P-85 (En curso): falta desplegar el código (commit + merge a main); hasta entonces el formulario en vivo sigue rechazando correos no institucionales.</t>
        </is>
      </c>
    </row>
    <row r="27">
      <c r="A27" s="8" t="inlineStr">
        <is>
          <t>2026-09-25</t>
        </is>
      </c>
      <c r="B27" s="4" t="inlineStr">
        <is>
          <t>ga-revisor-seguridad</t>
        </is>
      </c>
      <c r="C27" s="8" t="inlineStr">
        <is>
          <t>6.2; nuevos P-83, P-88</t>
        </is>
      </c>
      <c r="D27" s="7" t="inlineStr">
        <is>
          <t>Revisión de seguridad final de producción: aprobado con observaciones</t>
        </is>
      </c>
      <c r="E27" s="7" t="inlineStr">
        <is>
          <t>Contra main (merge 5a39d34, www.greenallianceco.com): F2-01, S-05 a S-13, el límite de 1 MB de Server Actions y el enlace a la política de datos, correctos; revisó lo nuevo desde a13c2de (correo institucional, plantillas de Resend, lib/correo/credito.ts, /politica-de-datos). 6.2 sigue En curso porque depende de 4.3, que no está Hecho. Hallazgos: S-15 (Media, variables NOMBRE/MOTIVO sin escapar en los correos de Resend, un admin puede meter HTML vía perfiles.nombre_completo o el motivo de rechazo) → nuevo pendiente P-83 para ga-funcionalidad-botones; F2-08 (Baja, ya documentado en la auditoría del 24-sep, tr_componer_nombre_afiliacion no cubre el update directo de nombre por un admin, sigue sin corregir) → nuevo pendiente P-88 para ga-auditor-supabase; /politica-de-datos en producción sigue con varios [Pendiente: NIT, dirección, plazos de retención...] visibles al público (ya rastreado en P-75 a P-81); no pudo confirmar desde afuera si las plantillas de Resend y el SMTP de Supabase Auth están realmente publicados (P-61 y 6.9 los dan por hechos desde otra sesión, sin verificación externa).</t>
        </is>
      </c>
    </row>
    <row r="28">
      <c r="A28" s="8" t="inlineStr">
        <is>
          <t>2026-09-25</t>
        </is>
      </c>
      <c r="B28" s="7" t="inlineStr">
        <is>
          <t>sesión principal (coordinador)</t>
        </is>
      </c>
      <c r="C28" s="8" t="inlineStr">
        <is>
          <t>6.5, 6.13; P-59, P-64; nuevo P-82</t>
        </is>
      </c>
      <c r="D28" s="7" t="inlineStr">
        <is>
          <t>PR develop → main fusionado; fase 2 desplegada en producción</t>
        </is>
      </c>
      <c r="E28" s="7" t="inlineStr">
        <is>
          <t>Sebas abrió y fusionó el PR #1 develop → main (merge 5a39d34); Vercel desplegó fase 2 en www.greenallianceco.com. Verificado por HTTP: /, /ingresar, /afiliacion y /politica-de-datos responden 200; /admin, /cuenta y /asesor redirigen a /ingresar sin sesión; el logo de los correos ya carga; /afiliacion muestra correo institucional, Nequi, institución, selfie y el desplegable de asesores; contacto real visible (soporte@greenallianceco.com, WhatsApp 311 724 1942, 4 horas o menos). 6.13 y P-59 pasan a Hecho (migraciones + despliegue completos) y P-64 pasa a Hecho (PR fusionado). 6.5 se deja En curso, no Hecho: aunque el código ya está en producción, la tarea del plan sigue dependiendo de 6.2 (revisión de seguridad), 6.3 (QA E2E), 6.4 (dominio), 2.4 (SMTP) y 6.8 (migración de límite de intentos), ninguna Hecho todavía; el generador de Excel no permite marcar Hecho una tarea con dependencias sin terminar. Trabajo nuevo: pendiente P-82 (prueba manual con sesión real de los 3 admins: ingreso con código OTP y logo del correo), a cargo de Sebas, reportado como abierto en este mismo mensaje. La política de datos sigue con huecos (P-75 a P-81), sin cambios.</t>
        </is>
      </c>
    </row>
    <row r="29">
      <c r="A29" s="8" t="inlineStr">
        <is>
          <t>2026-09-25</t>
        </is>
      </c>
      <c r="B29" s="7" t="inlineStr">
        <is>
          <t>sesión principal (coordinador)</t>
        </is>
      </c>
      <c r="C29" s="8" t="inlineStr">
        <is>
          <t>6.9, 6.13; P-44, P-59, P-61</t>
        </is>
      </c>
      <c r="D29" s="7" t="inlineStr">
        <is>
          <t>Migraciones de fase 2 aplicadas en producción; plantillas de Resend y variables de Vercel puestas</t>
        </is>
      </c>
      <c r="E29" s="7" t="inlineStr">
        <is>
          <t>Sebas aplicó en producción (PagGreenAlliance) las 9 migraciones de fase 2 con `supabase db push` (de 20260924000000_rol_asesor_enum a 20260924000800_sincronizar_perfil_desde_app_metadata), tras un --dry-run que listó exactamente esas 9: 6.13 y P-59 pasan a En curso (falta la parte de desplegar). También creó y publicó las 4 plantillas en Resend (P-61 Hecho) y puso el resto de variables en Vercel: SITIO_URL, RESEND_API_KEY, EMAIL_FROM, LIMITE_HMAC_SECRET y las 4 RESEND_TEMPLATE_* (P-44 Hecho; 6.9 pasa a En curso porque P-60, SUPABASE_SERVICE_ROLE_KEY con «Invalid API key», sigue Pendiente). develop subido a origin (commit debe226, 6 commits nuevos). Bloqueo nuevo: falta fusionar el PR develop → main para desplegar; producción ya tiene la base de datos nueva pero sigue con el código viejo (ver P-64, 6.5). La política de datos sigue con huecos (P-75 a P-81), sin cambios en este reporte.</t>
        </is>
      </c>
    </row>
    <row r="30">
      <c r="A30" s="8" t="inlineStr">
        <is>
          <t>2026-09-24</t>
        </is>
      </c>
      <c r="B30" s="7" t="inlineStr">
        <is>
          <t>sesión principal (coordinador)</t>
        </is>
      </c>
      <c r="C30" s="8" t="inlineStr">
        <is>
          <t>5.4, P-14, P-61, P-62, P-72; nuevos P-75 a P-81</t>
        </is>
      </c>
      <c r="D30" s="7" t="inlineStr">
        <is>
          <t>Borrador de la política de datos y plantillas de Resend listas; Test QA borrado y dominio conectado</t>
        </is>
      </c>
      <c r="E30" s="7" t="inlineStr">
        <is>
          <t>Borrador completo de /politica-de-datos (10 secciones, Ley 1581 y Decreto 1377, con la autorización de datos sensibles para las fotos de cédula y la selfie), con los datos que faltan resaltados en la página con &lt;Pendiente&gt;; 5.4 y P-14 actualizan su bloqueo con la lista concreta que falta de la cooperativa: NIT/dirección/ciudad (P-75), fecha de vigencia (P-76), país o región de los servidores -Supabase, Vercel, Resend- (P-77), alternativa sin selfie (P-78), plazos de conservación -fotos ligadas a P-63- (P-79) y si reportan a centrales de riesgo Ley 1266 (P-80); más la revisión de un abogado (P-81, nuevo pendiente para Sebas). HTML de las 4 plantillas de Resend (ingreso aceptado, crédito aprobado, crédito rechazado, boleta del sorteo) listo en docs/resend/, con el mismo diseño del correo del código; P-61 se actualiza con esa nota, falta que Sebas las cree y publique en Resend junto con las variables de Vercel (RESEND_API_KEY, EMAIL_FROM, RESEND_TEMPLATE_*, SITIO_URL=https://www.greenallianceco.com), ya anotadas en P-44. Sebas: plantilla del código puesta en Supabase, dominio www.greenallianceco.com conectado a producción en Vercel, usuario «Test QA» borrado de producción (P-62 pasa a Hecho), primera variable de Vercel corregida y habló con Carlos para darle acceso de colaborador (P-72 pasa a En curso). El logo de los correos da 404 hasta desplegar develop en main (public/logos no está en producción).</t>
        </is>
      </c>
    </row>
    <row r="31">
      <c r="A31" s="8" t="inlineStr">
        <is>
          <t>2026-09-24</t>
        </is>
      </c>
      <c r="B31" s="7" t="inlineStr">
        <is>
          <t>Sebas (acuerdo con Carlos Pardo)</t>
        </is>
      </c>
      <c r="C31" s="8" t="inlineStr">
        <is>
          <t>4.1, 4.7, 4.8, 5.9, 5.10, 6.14, 6.15; P-65 a P-74</t>
        </is>
      </c>
      <c r="D31" s="7" t="inlineStr">
        <is>
          <t>Corrección de 4.1 y encargo externo a Carlos Pardo (500.000 COP) por PR a develop</t>
        </is>
      </c>
      <c r="E31" s="7" t="inlineStr">
        <is>
          <t>4.1 corregida: su texto decía «listado de solicitudes y asociados» pero /admin no tiene lista de asociados ni dashboard, solo afiliaciones, créditos, asesores y sorteo; queda Hecho con el texto correcto. Se contrata a Carlos Pardo, desarrollador externo, para un paquete de 6 actividades que entregará por PR a develop desde su propia rama (cada PR lo revisa un agente ga-* antes de fusionar): 4.7 dashboard de clientes en /admin (peso 4), 4.8 dashboard del asesor en /asesor sin datos sensibles (peso 3), 5.9 convenios administrables desde /admin (peso 3), 5.10 Ley 1581 (borrado automático de fotos rechazadas y motivo de rechazo, peso 2), 6.14 pruebas en celulares reales con informe (peso 1) y 6.15 actualizar los tests e2e viejos al formato de máscara nuevo (peso 1); pendientes P-66 a P-71 en espejo. Nuevos pendientes para Sebas: P-72 (dar acceso de colaborador en GitHub, sin llaves de producción) y P-73 (revisar y pagar los 500.000 COP al fusionar el paquete en develop). P-65 se cierra como Hecho: se decidió que solo participan asociados en el sorteo (S-13, ya implementado).</t>
        </is>
      </c>
    </row>
    <row r="32">
      <c r="A32" s="8" t="inlineStr">
        <is>
          <t>2026-09-24</t>
        </is>
      </c>
      <c r="B32" s="4" t="inlineStr">
        <is>
          <t>ga-escritor-tests</t>
        </is>
      </c>
      <c r="C32" s="8" t="inlineStr">
        <is>
          <t>6.1, P-58</t>
        </is>
      </c>
      <c r="D32" s="7" t="inlineStr">
        <is>
          <t>tests/e2e/d-afiliacion.spec.ts reescrito para la afiliación v2; bug real encontrado en esquemaAfiliacion</t>
        </is>
      </c>
      <c r="E32" s="7" t="inlineStr">
        <is>
          <t>Reescritura completa de d-afiliacion.spec.ts (nombres/apellidos, institución + correo institucional, Nequi, asesor, 3 fotos con magic bytes y bucket privado): 48 pruebas × 2 proyectos (escritorio/celular) = 96 contra Supabase local, 92 pasan y 4 fallan (2 por proyecto) por un bug real de la app, no de la prueba. Bug reproducido también como prueba unitaria en tests/unit/validaciones.test.ts (falla a propósito, documentando el defecto): nueva actividad 2.13 y pendiente P-74 para ga-funcionalidad-botones. k-roles.spec.ts (referencia) 4/4 en escritorio, tras corregir a mano el estado de una solicitud de ejemplo que había quedado mal de una corrida previa (no se pudo usar supabase db reset por el permiso de la sandbox). npm run test:unit: 307 pasan, 1 falla (la nueva, documentando el bug); npx tsc --noEmit sin errores. Sigue bloqueado correr npm run test:db (pgTAP) por el mismo permiso de sandbox. Queda fuera de esta tarea, y se delega a Carlos Pardo (ver 6.15, P-71), reescribir b-ingreso.spec.ts, i-despliegue.spec.ts y j-produccion.spec.ts al formato nuevo de máscara de correo.</t>
        </is>
      </c>
    </row>
    <row r="33">
      <c r="A33" s="8" t="inlineStr">
        <is>
          <t>2026-09-24</t>
        </is>
      </c>
      <c r="B33" s="7" t="inlineStr">
        <is>
          <t>Sebas (coordinación con la cooperativa)</t>
        </is>
      </c>
      <c r="C33" s="8" t="inlineStr">
        <is>
          <t>5.3; P-10, P-11, P-12, P-17, P-18, P-38, P-44</t>
        </is>
      </c>
      <c r="D33" s="7" t="inlineStr">
        <is>
          <t>Datos reales de contacto entregados; se cancela la importación de Excel; 3 admins reales en producción</t>
        </is>
      </c>
      <c r="E33" s="7" t="inlineStr">
        <is>
          <t>La cooperativa entregó WhatsApp (311 724 1942), correo de soporte (soporte@greenallianceco.com) y tiempo de respuesta («4 horas o menos»): P-10, P-11, P-12 y P-17 pasan a Hecho; 5.3 actualiza su bloqueo (quedan pendientes texto de vigilancia Supersolidaria, fotos/cifras/testimonios, nombres de los grados y estado de desembolso). Decisión de la cooperativa: no habrá importación de Excel de asociados (la afiliación v2 + aprobación en /admin la reemplaza); P-18 y P-38 pasan a Hecho como «ya no aplica», y 4.4 se cierra igual con nota de cancelación. Ya hay 3 administradores reales en producción (Ricardo, Abogados Prieto y Sebas); la cuenta de prueba «Test QA» (1099887766) sigue siendo admin y hay que borrarla (P-62). Nuevos pendientes de alta prioridad para Sebas: aplicar las 9 migraciones de fase 2 y desplegar (P-59), corregir SUPABASE_SERVICE_ROLE_KEY en Vercel (P-60), crear las plantillas en Resend (P-61), borrar Test QA (P-62), preguntas abiertas a la cooperativa (P-63) y abrir el PR de develop a main (P-64); P-44 actualizado con las variables nuevas (SITIO_URL, RESEND_TEMPLATE_SORTEO_BOLETA).</t>
        </is>
      </c>
    </row>
    <row r="34">
      <c r="A34" s="8" t="inlineStr">
        <is>
          <t>2026-09-24</t>
        </is>
      </c>
      <c r="B34" s="4" t="inlineStr">
        <is>
          <t>ga-funcionalidad-botones</t>
        </is>
      </c>
      <c r="C34" s="8" t="inlineStr">
        <is>
          <t>2.12, 4.1, 4.2, 4.5, 4.6, 6.2; P-36, P-37</t>
        </is>
      </c>
      <c r="D34" s="7" t="inlineStr">
        <is>
          <t>Afiliación v2, panel /admin y correcciones de la auditoría y la revisión de seguridad (F2-01/F2-04, S-01 a S-14)</t>
        </is>
      </c>
      <c r="E34" s="7" t="inlineStr">
        <is>
          <t>Según la coordinación del 24-sep y los commits 235ffbe (afiliación v2 con fotos, panel /admin, vista del asesor y sorteo) y a13c2de (arreglos de auditoría y seguridad), en rama develop, sin tocar producción: formulario de afiliación v2 completo (nombres/apellidos, institución con correo institucional, Nequi, asesor, 3 fotos con subida al bucket privado) y panel /admin (listado de solicitudes y afiliaciones, aprobar/rechazar con motivo, correo «Ingreso aceptado»). Correcciones: (1) F2-01/S-01 boleta oculta, migraciones 000600/000700/000800 aplicadas en local y pasadas a RPC (mi_boleta_sorteo, boletas_confirmadas_sorteo), «Reenviar mi boleta» con tope 3/día; (2) fotos comprimidas a JPEG ≤1600px y bodySizeLimit 3mb; (3) magic bytes para validar el tipo real de la foto; (4) número de boleta fuera de los logs en producción, variables de Resend obligatorias en el build; (5) se quitó `workflow` (0 vulnerabilidades altas); (6) update de solicitudes_credito filtra por estado pendiente; (7) SITIO_URL para el correo «Ingreso aceptado»; (8) participarSorteo exige rol asociado; (9) cabeceras Strict-Transport-Security y Permissions-Policy; (10) vista previa /cuenta?sorteo=demo solo fuera de producción; (11) S-06 respuesta idéntica para cédula duplicada en afiliación, sin filtrar si ya existe. Verificación: tsc, eslint, build y test:unit (307/307) sin errores; playwright k-roles (4/4). 4.1, 4.2, 4.5 pasan a Hecho (panel /admin probado). Pendiente: tests/e2e/d-afiliacion.spec.ts desactualizado (ver P-58); variables nuevas de Vercel (ver P-59 a P-61).</t>
        </is>
      </c>
    </row>
    <row r="35">
      <c r="A35" s="8" t="inlineStr">
        <is>
          <t>2026-09-24</t>
        </is>
      </c>
      <c r="B35" s="4" t="inlineStr">
        <is>
          <t>ga-revisor-seguridad</t>
        </is>
      </c>
      <c r="C35" s="8" t="inlineStr">
        <is>
          <t>6.2</t>
        </is>
      </c>
      <c r="D35" s="7" t="inlineStr">
        <is>
          <t>Revisión de seguridad de fase 2: 3 bloqueos para el despliegue</t>
        </is>
      </c>
      <c r="E35" s="7" t="inlineStr">
        <is>
          <t>Diff 4545c0e..235ffbe (/admin, /asesor, /afiliacion v2, sorteo, proxy, ingreso por rol, cabeceras, llaves). Sin secretos expuestos, open redirect ni bypass de rol; /admin y /asesor verifican el rol en el servidor antes de usar service role. Bloquean el despliegue: (1) F2-01 boleta legible por API REST (ya reportado por ga-auditor-supabase); (2) la autorización de datos sensibles enlaza a una política de datos todavía placeholder; (3) el límite de 1 MB de las Server Actions tumba el envío de las 3 fotos. 6.2 sigue En curso (pasa a depender también de 2.12, 3.9 y 4.6): la mayoría de estos hallazgos ya se corrigieron en el siguiente reporte, falta el visto bueno final. Nuevo pendiente P-65 (si admin o asesor pueden participar en el sorteo).</t>
        </is>
      </c>
    </row>
    <row r="36">
      <c r="A36" s="8" t="inlineStr">
        <is>
          <t>2026-09-24</t>
        </is>
      </c>
      <c r="B36" s="4" t="inlineStr">
        <is>
          <t>ga-auditor-supabase</t>
        </is>
      </c>
      <c r="C36" s="8" t="inlineStr">
        <is>
          <t>1.6</t>
        </is>
      </c>
      <c r="D36" s="7" t="inlineStr">
        <is>
          <t>Auditoría de las 6 migraciones de fase 2: 1 hallazgo alto, 3 migraciones correctivas propuestas</t>
        </is>
      </c>
      <c r="E36" s="7" t="inlineStr">
        <is>
          <t>Auditoría de solo lectura contra el repo y Supabase local (203/203 pgTAP). Sin nada crítico. Hallazgo alto: el asociado podía leer el número de su boleta del sorteo por la API REST antes de confirmarlo. 3 migraciones nuevas propuestas sin aplicar: 000600 (oculta el número y corrige las carreras del sorteo), 000700 (el asesor degradado deja de ver a sus clientes), 000800 (trigger que sincroniza cédula y grado desde app_metadata). Reporte: docs/auditorias/2026-09-24-fase-2.md. Nueva actividad 1.6 (peso 3, depende de 1.5).</t>
        </is>
      </c>
    </row>
    <row r="37">
      <c r="A37" s="8" t="inlineStr">
        <is>
          <t>2026-09-24</t>
        </is>
      </c>
      <c r="B37" s="4" t="inlineStr">
        <is>
          <t>ga-funcionalidad-botones</t>
        </is>
      </c>
      <c r="C37" s="8" t="inlineStr">
        <is>
          <t>3.9</t>
        </is>
      </c>
      <c r="D37" s="7" t="inlineStr">
        <is>
          <t>Sorteo mensual en /cuenta</t>
        </is>
      </c>
      <c r="E37" s="7" t="inlineStr">
        <is>
          <t>Botón «Sorteo del mes» y modal en /cuenta (components/sorteo/SorteoDelMes.tsx): participar (RPC participar_sorteo, correo con el número por Resend), confirmar (RPC confirmar_boleta_sorteo, tope 5 intentos) y celebración con confeti (respeta prefers-reduced-motion). El número de boleta nunca sale del servidor antes de confirmar. 31 pruebas unitarias nuevas; docs/mapa-de-botones.md §4 y .env.example (RESEND_TEMPLATE_SORTEO_BOLETA) actualizados. tsc, eslint y build sin errores nuevos. No se pudo probar el flujo feliz completo en vivo (24-sep está fuera de la ventana 1–5); cubierto con pruebas unitarias y revisión de código. Nueva actividad 3.9 (peso 4, depende de 3.5 y 1.5). Pendiente: aprobar la plantilla ga-sorteo-boleta en Resend (ver P-61).</t>
        </is>
      </c>
    </row>
    <row r="38">
      <c r="A38" s="8" t="inlineStr">
        <is>
          <t>2026-09-24</t>
        </is>
      </c>
      <c r="B38" s="4" t="inlineStr">
        <is>
          <t>ga-funcionalidad-botones</t>
        </is>
      </c>
      <c r="C38" s="8" t="inlineStr">
        <is>
          <t>4.6; P-57</t>
        </is>
      </c>
      <c r="D38" s="7" t="inlineStr">
        <is>
          <t>Rol asesor: /asesor (mis clientes) y /asesor/demo</t>
        </is>
      </c>
      <c r="E38" s="7" t="inlineStr">
        <is>
          <t>/asesor («Mis clientes», buscador y filtro por estado sobre resumen_clientes_asesor()) y /asesor/demo (cuenta fantasma que no escribe nada), ambas con guardia de rol propia en el servidor; 26 pruebas unitarias nuevas; docs/mapa-de-botones.md actualizado (§7, §7b). Verificado contra Supabase local con el asesor de prueba (cédula 1234567892). Nueva actividad 4.6 (peso 3, depende de 1.5). Pendiente nuevo P-57: agregar /asesor al matcher de proxy.ts y redirigir por rol tras login.</t>
        </is>
      </c>
    </row>
    <row r="39">
      <c r="A39" s="8" t="inlineStr">
        <is>
          <t>2026-09-24</t>
        </is>
      </c>
      <c r="B39" s="4" t="inlineStr">
        <is>
          <t>ga-auditor-supabase</t>
        </is>
      </c>
      <c r="C39" s="8" t="inlineStr">
        <is>
          <t>1.5; P-63</t>
        </is>
      </c>
      <c r="D39" s="7" t="inlineStr">
        <is>
          <t>Modelo de datos de fase 2: rol asesor, afiliación v2, bucket de fotos y sorteo mensual</t>
        </is>
      </c>
      <c r="E39" s="7" t="inlineStr">
        <is>
          <t>6 migraciones nuevas probadas contra Supabase local (no aplicadas a producción): enum 'asesor', perfiles.asesor_id con validaciones, solicitudes_afiliacion v2 (nombres/apellidos, institución + correo institucional, Nequi, asesor_id, 3 fotos obligatorias), obtener_asesores_publico()/resumen_clientes_asesor() (SECURITY DEFINER), bucket privado afiliacion-documentos (5 MB, sin políticas de storage.objects, todo por service_role + URL firmada) y sorteo mensual (boletas_sorteo, participar_sorteo(), confirmar_boleta_sorteo(), ventana 1–5 hora Bogotá, tope 5 intentos). seed.sql actualizado; 4 archivos pgTAP nuevos y 2 ajustados; docs/spec-fase-2.md nuevo. Verificado: supabase db reset + supabase test db (203/203) + test:unit (163/163) + tsc sin errores. Nueva actividad 1.5 (peso 5, depende de 1.2). Pendientes abiertos para la cooperativa recogidos en P-63.</t>
        </is>
      </c>
    </row>
    <row r="40">
      <c r="A40" s="8" t="inlineStr">
        <is>
          <t>2026-09-23</t>
        </is>
      </c>
      <c r="B40" s="7" t="inlineStr">
        <is>
          <t>ga-funcionalidad-botones + ga-diseno-a-codigo</t>
        </is>
      </c>
      <c r="C40" s="8" t="inlineStr">
        <is>
          <t>6.3</t>
        </is>
      </c>
      <c r="D40" s="7" t="inlineStr">
        <is>
          <t>Corregidos F-01 a F-08 de verificación 3 y los 8 hallazgos responsive</t>
        </is>
      </c>
      <c r="E40" s="7" t="inlineStr">
        <is>
          <t>ga-funcionalidad-botones: F-01 (correo enmascarado ya no delata la cédula, también oculta el dominio), F-02 (tope de intentos al verificar código: 5 por cédula y 30 por IP cada 15 min), F-05 (cabeceras X-Frame-Options, CSP frame-ancestors, Referrer-Policy, X-Content-Type-Options), F-06 (monto múltiplo de $50.000) y F-08 (código pegado durante «Reenviar» ya no se borra); documentó O-01 (x-forwarded-for solo confiable detrás de Vercel, ver P-49). ga-diseno-a-codigo: los 8 hallazgos responsive (tarjetas 50/100 %, deslizador, «Reenviar código», header /cuenta, hero y landing 1024–1150, /afiliacion y /cuenta 640–1023, hueco /afiliacion/enviada en tableta) y F-03/F-04/F-07 (Cerrar sesión en celular, 404 en español, hueco de tableta); nueva app/not-found.tsx. Todo terminó en el commit bf09975→4545c0e (arreglos de QA). Pendiente: tests/e2e con el formato viejo de máscara y dominios (ver P-58); confirmar con la cooperativa que solo hay 3 dominios institucionales (ver P-63); hallazgo #7 (grid de /afiliacion a 1024 px) quedó pendiente para la tanda que reescribiera Afiliacion.tsx, ya superado por la afiliación v2 (2.12).</t>
        </is>
      </c>
    </row>
    <row r="41">
      <c r="A41" s="8" t="inlineStr">
        <is>
          <t>2026-09-23</t>
        </is>
      </c>
      <c r="B41" s="7" t="inlineStr">
        <is>
          <t>ga-verificador-responsive + ga-verificador-qa</t>
        </is>
      </c>
      <c r="C41" s="8" t="inlineStr">
        <is>
          <t>6.3; P-39</t>
        </is>
      </c>
      <c r="D41" s="7" t="inlineStr">
        <is>
          <t>Responsive 3 (8 hallazgos menores) y QA E2E 3 (236/241, NO APROBADO)</t>
        </is>
      </c>
      <c r="E41" s="7" t="inlineStr">
        <is>
          <t>Responsive: 8 rutas × 9 anchos (360–1440) contra develop bf09975, 0 críticos y 8 menores (docs/verificaciones/responsive-2026-09-23/). QA: Supabase local, 236 pasan y 5 fallan; unitarias (140), pgTAP (143), tsc y eslint sin errores; docs/verificaciones/2026-09-23-verificacion-3.md. Bloqueaban producción: F-01 crítica (el dominio del correo enmascarado delataba si la cédula existe) y F-02 alta (sin tope de intentos al verificar el código); además contenido pendiente de la cooperativa, política de datos vacía, configuración de producción por revisar (SMTP/Resend, P-45, secretos en Vercel, P-43, P-09), F-03/F-04 (diseño), F-05 (cabeceras anti-clickjacking) y F-06 a F-08 bajas.</t>
        </is>
      </c>
    </row>
    <row r="42">
      <c r="A42" s="8" t="inlineStr">
        <is>
          <t>2026-09-23</t>
        </is>
      </c>
      <c r="B42" s="4" t="inlineStr">
        <is>
          <t>ga-verificador-responsive</t>
        </is>
      </c>
      <c r="C42" s="8" t="inlineStr">
        <is>
          <t>6.3, 5.2, 5.8; P-39, P-53</t>
        </is>
      </c>
      <c r="D42" s="7" t="inlineStr">
        <is>
          <t>Verificación responsive 2: 0 fallas en 13 anchos; tests/responsive 10/10</t>
        </is>
      </c>
      <c r="E42" s="7" t="inlineStr">
        <is>
          <t>Sin scroll horizontal en /, /ingresar, /ingresar/codigo, /afiliacion, /politica-de-datos, /cuenta y /cuenta/solicitar (con cookie y sesión reales) de 320 a 1920 px. P-39 pasa a Hecho (QA y responsive corridas); 6.3 sigue En curso porque depende de trabajo sin terminar. Menor y opcional: P-53 («COOPERATIVA» del logo a 320 px ~5 px de alto).</t>
        </is>
      </c>
    </row>
    <row r="43">
      <c r="A43" s="8" t="inlineStr">
        <is>
          <t>2026-09-23</t>
        </is>
      </c>
      <c r="B43" s="4" t="inlineStr">
        <is>
          <t>ga-funcionalidad-botones</t>
        </is>
      </c>
      <c r="C43" s="8" t="inlineStr">
        <is>
          <t>3.7, 5.5, 5.6, 6.9, 6.11; P-35, P-40, P-44, P-56</t>
        </is>
      </c>
      <c r="D43" s="7" t="inlineStr">
        <is>
          <t>HMAC en el límite de intentos, crédito en /cuenta/solicitar y borradas /login y /dashboard</t>
        </is>
      </c>
      <c r="E43" s="7" t="inlineStr">
        <is>
          <t>Nueva actividad 6.11 (Hecho, peso 1): clave del límite con HMAC-SHA256 y LIMITE_HMAC_SECRET (sin el secreto el build falla). Formulario de crédito movido a /cuenta/solicitar con EncabezadoCuenta; 5.5 y P-40 pasan a Hecho. 6.9 y P-44 suman LIMITE_HMAC_SECRET y 6.9 depende de 6.11. Pruebas: 140/140 unitarias, 143/143 base, tsc, lint y build limpios. Trabajo nuevo: 5.6 revisar el diseño de /cuenta/solicitar (ga-diseno-a-codigo, peso 1) con P-56; 6.3 pasa a depender de 5.6.</t>
        </is>
      </c>
    </row>
    <row r="44">
      <c r="A44" s="8" t="inlineStr">
        <is>
          <t>2026-09-23</t>
        </is>
      </c>
      <c r="B44" s="4" t="inlineStr">
        <is>
          <t>ga-diseno-a-codigo</t>
        </is>
      </c>
      <c r="C44" s="8" t="inlineStr">
        <is>
          <t>5.2, 5.8, 6.3</t>
        </is>
      </c>
      <c r="D44" s="7" t="inlineStr">
        <is>
          <t>Corregido el scroll horizontal y marca de agua más tenue</t>
        </is>
      </c>
      <c r="E44" s="7" t="inlineStr">
        <is>
          <t>Enlace del logo encoge (min-w-0 shrink) en los 5 headers; formulario de ingreso w-full con máximo 440 px y relleno de 32 px entre 1024 y 1279 px; marca de agua del hero en la esquina contraria y más tenue. 5.8 queda Hecho (peso 1, depende de 5.2 y 5.7).</t>
        </is>
      </c>
    </row>
    <row r="45">
      <c r="A45" s="8" t="inlineStr">
        <is>
          <t>2026-09-23</t>
        </is>
      </c>
      <c r="B45" s="4" t="inlineStr">
        <is>
          <t>ga-verificador-responsive</t>
        </is>
      </c>
      <c r="C45" s="8" t="inlineStr">
        <is>
          <t>6.3, 5.2, 2.1, 5.8; P-39</t>
        </is>
      </c>
      <c r="D45" s="7" t="inlineStr">
        <is>
          <t>Verificación responsive 1: logo y fotos bien; 2 fallas críticas de scroll previas</t>
        </is>
      </c>
      <c r="E45" s="7" t="inlineStr">
        <is>
          <t>Playwright en 10 anchos (320–1920 px) sobre 7 rutas. Logo nítido y proporcionado en dark y light; fotos decorativas correctas. Fallas: landing a 320 px («Ingresar» cortado, enlace del logo fijo en 240 px) y /ingresar y /ingresar/codigo entre 1024 y 1075 px (540 + 440 + padding = 1076 px). Se abre 5.8 para corregirlas.</t>
        </is>
      </c>
    </row>
    <row r="46">
      <c r="A46" s="8" t="inlineStr">
        <is>
          <t>2026-09-23</t>
        </is>
      </c>
      <c r="B46" s="4" t="inlineStr">
        <is>
          <t>ga-diseno-a-codigo</t>
        </is>
      </c>
      <c r="C46" s="8" t="inlineStr">
        <is>
          <t>2.1, 5.3, 5.7; P-16, P-52</t>
        </is>
      </c>
      <c r="D46" s="7" t="inlineStr">
        <is>
          <t>Logo con letras oficiales en SVG y espacios de foto de marca en la landing</t>
        </is>
      </c>
      <c r="E46" s="7" t="inlineStr">
        <is>
          <t>green-alliance-wordmark.svg (y versión blanca) reemplaza Montserrat; EspacioFoto con degradado, patrón, isotipo e ilustración, listo para recibir { src, alt }. Mapa de botones revisado contra el diseño (2.2, 2.3, 3.4): todo existe y está bien ubicado. Nueva actividad 5.7 (Hecho, peso 2, depende de 2.1). 5.3 sigue Bloqueado; P-16 sigue Pendiente (fotos reales de la cooperativa). P-52 (actualizar el mapa: §4 «Nueva solicitud» → /cuenta/solicitar y documentar esa ruta) se registra como Hecho: el documento ya lo tiene tras el cambio de ga-funcionalidad-botones.</t>
        </is>
      </c>
    </row>
    <row r="47">
      <c r="A47" s="8" t="inlineStr">
        <is>
          <t>2026-09-23</t>
        </is>
      </c>
      <c r="B47" s="4" t="inlineStr">
        <is>
          <t>ga-auditor-supabase</t>
        </is>
      </c>
      <c r="C47" s="8" t="inlineStr">
        <is>
          <t>6.8, 6.11, 6.12; P-43, P-54, P-55</t>
        </is>
      </c>
      <c r="D47" s="7" t="inlineStr">
        <is>
          <t>Migración limite_de_intentos auditada: se puede aplicar tal cual</t>
        </is>
      </c>
      <c r="E47" s="7" t="inlineStr">
        <is>
          <t>Auditoría de solo lectura contra producción, sin críticos ni altos (docs/auditorias/2026-09-23-limite-de-intentos.md). 6.8 pasa a En curso (revisión hecha, falta que Sebas haga db push antes de 6.5); P-43 sigue Pendiente con nota. Trabajo nuevo: hash HMAC de la clave (queda en 6.11, ver reporte de ga-funcionalidad-botones), 6.12 alerta en logs de Vercel (peso 1) con P-54, y P-55 opcional (revocar limites_intentos_id_seq a anon y authenticated).</t>
        </is>
      </c>
    </row>
    <row r="48">
      <c r="A48" s="8" t="inlineStr">
        <is>
          <t>2026-09-23</t>
        </is>
      </c>
      <c r="B48" s="7" t="inlineStr">
        <is>
          <t>Sebas + ga-auditor-supabase</t>
        </is>
      </c>
      <c r="C48" s="8" t="inlineStr">
        <is>
          <t>2.4, 6.8, 6.10; P-09, P-19, P-20, P-43, P-45</t>
        </is>
      </c>
      <c r="D48" s="7" t="inlineStr">
        <is>
          <t>SMTP de Resend configurado, plantilla del código lista en local y blindar confirmada en producción</t>
        </is>
      </c>
      <c r="E48" s="7" t="inlineStr">
        <is>
          <t>P-19 Hecho (Sebas configuró el SMTP). P-20 sigue En curso: supabase/templates/codigo-ingreso.html rediseñada con la marca y probada en Mailpit; falta pegarla en Magic Link del panel. P-45 sin confirmar, sin cambios; por eso 2.4 sigue En curso. list_migrations confirma que producción ya tiene 20260923173355_blindar_solicitudes_y_revisiones: 6.10 y P-09 pasan a Hecho (el reporte anterior de atraso estaba equivocado). Falta en producción 20260923210000_limite_de_intentos (limites_intentos y registrar_intento, usadas por dentroDelLimite en /afiliacion, /ingresar y «Reenviar código»): ya existía como 6.8 / P-43 y 6.5 ya dependía de 6.8; se actualizan responsable (Sebas, revisa ga-auditor-supabase) y nota en vez de duplicar.</t>
        </is>
      </c>
    </row>
    <row r="49">
      <c r="A49" s="8" t="inlineStr">
        <is>
          <t>2026-09-23</t>
        </is>
      </c>
      <c r="B49" s="4" t="inlineStr">
        <is>
          <t>Sebas</t>
        </is>
      </c>
      <c r="C49" s="8" t="inlineStr">
        <is>
          <t>—</t>
        </is>
      </c>
      <c r="D49" s="7" t="inlineStr">
        <is>
          <t>Agente ga-auditor-supabase corregido</t>
        </is>
      </c>
      <c r="E49" s="7" t="inlineStr">
        <is>
          <t>Sus disallowedTools ahora usan los nombres reales del MCP (mcp__claude_ai_Supabase__*). Sin efecto en el plan.</t>
        </is>
      </c>
    </row>
    <row r="50">
      <c r="A50" s="8" t="inlineStr">
        <is>
          <t>2026-09-23</t>
        </is>
      </c>
      <c r="B50" s="7" t="inlineStr">
        <is>
          <t>Sebas + ga-auditor-supabase</t>
        </is>
      </c>
      <c r="C50" s="8" t="inlineStr">
        <is>
          <t>3.1, 6.5, 6.10; P-09</t>
        </is>
      </c>
      <c r="D50" s="7" t="inlineStr">
        <is>
          <t>Producción atrasada: falta la migración blindar_solicitudes_y_revisiones</t>
        </is>
      </c>
      <c r="E50" s="7" t="inlineStr">
        <is>
          <t>PagGreenAlliance tiene 10 migraciones hasta 20260923123937_fecha_solicitud_en_servidor; le falta blindar_solicitudes_y_revisiones (en el repo es 20260923173355; el reporte la nombra 20260923160000) y la app lee tasa_interes_mensual, que en producción no existe. P-09 estaba Hecho por error: se reabre como Pendiente Alta (Sebas aplica, ga-auditor-supabase revisa antes). 3.1 se deja Hecho (el trabajo en la base está hecho y tiene hechas que dependen de él) pero se quita «y migración a producción» de su texto; nueva actividad 6.10 (peso 1, depende de 3.1) para aplicarla, y 6.5 (despliegue) pasa a depender de 6.10.</t>
        </is>
      </c>
    </row>
    <row r="51">
      <c r="A51" s="8" t="inlineStr">
        <is>
          <t>2026-09-23</t>
        </is>
      </c>
      <c r="B51" s="4" t="inlineStr">
        <is>
          <t>ga-escritor-tests</t>
        </is>
      </c>
      <c r="C51" s="8" t="inlineStr">
        <is>
          <t>6.1</t>
        </is>
      </c>
      <c r="D51" s="7" t="inlineStr">
        <is>
          <t>132/132 unitarias, 131/131 pgTAP y tsc sin errores</t>
        </is>
      </c>
      <c r="E51" s="7" t="inlineStr">
        <is>
          <t>Corridas con Node v24 y Supabase local en Docker. Se agregaron supabase/seed.sql con asociados de prueba y .env.development.local para que npm run dev use Supabase local en vez de producción. 6.1 sigue En curso: faltan las pruebas de las acciones de admin (4.3, 4.5).</t>
        </is>
      </c>
    </row>
    <row r="52">
      <c r="A52" s="8" t="inlineStr">
        <is>
          <t>2026-09-23</t>
        </is>
      </c>
      <c r="B52" s="7" t="inlineStr">
        <is>
          <t>Sebas + ga-funcionalidad-botones</t>
        </is>
      </c>
      <c r="C52" s="8" t="inlineStr">
        <is>
          <t>2.9, 3.8, 4.5, 6.1, 6.2, 6.9; P-19, P-20, P-28, P-36, P-37, P-44, P-45, P-50, P-51</t>
        </is>
      </c>
      <c r="D52" s="7" t="inlineStr">
        <is>
          <t>Se quitan del código los correos de aviso de afiliación y de solicitud de crédito; docs/resend-plantillas.md reescrito</t>
        </is>
      </c>
      <c r="E52" s="7" t="inlineStr">
        <is>
          <t>Decisión de Sebas: ya no se envían avisos Resend al guardar una afiliación (equipo y solicitante) ni una solicitud de crédito (equipo y asociado). Se borró lib/correo/afiliacion.ts y enviarAvisoNuevaSolicitudCredito; salen del .env.example AFILIACION_EMAIL_EQUIPO, CREDITOS_EMAIL_EQUIPO y cuatro RESEND_TEMPLATE_*, entra RESEND_TEMPLATE_INGRESO_ACEPTADO. El equipo revisa solicitudes y afiliaciones en Supabase hasta que exista /admin. Se elimina la actividad 3.8 (correo al equipo, estaba En curso, peso 2) y se quita de las dependencias de 6.1 y 6.2. 2.9 y P-28 ya no mencionan el correo. 6.9 y P-44: fuera AFILIACION_EMAIL_EQUIPO, entran RESEND_TEMPLATE_INGRESO_ACEPTADO, _CREDITO_APROBADO y _CREDITO_RECHAZADO. Plantillas: (a) «Ingreso aceptado» → nueva actividad 4.5 (aprobar afiliación en /admin, crear usuario y enviar correo; peso 3, depende de 4.1 y 2.9; 6.1 y 6.2 pasan a depender de ella) y pendiente P-51; (b) código de 6 dígitos lo envía Supabase Auth, funciona en local, en producción falta SMTP de Resend, plantilla Magic Link con {{ .Token }}, OTP de 6 dígitos y 600 s → se actualizan P-19, P-20 y P-45 (responsable «Yo (panel Supabase/Resend)»), ligados a 2.4; (c) «Resultado del crédito»: enviarResultadoCredito existe sin conectar → P-37 se redefine y pasa a 4.3. P-50 queda Hecho como «ya no aplica».</t>
        </is>
      </c>
    </row>
    <row r="53">
      <c r="A53" s="8" t="inlineStr">
        <is>
          <t>2026-09-23</t>
        </is>
      </c>
      <c r="B53" s="4" t="inlineStr">
        <is>
          <t>ga-verificador-qa</t>
        </is>
      </c>
      <c r="C53" s="8" t="inlineStr">
        <is>
          <t>6.3, 2.11; P-39, P-48, P-49, P-50</t>
        </is>
      </c>
      <c r="D53" s="7" t="inlineStr">
        <is>
          <t>QA 1 de punta a punta: 186 pruebas pasan, 2 fallan</t>
        </is>
      </c>
      <c r="E53" s="7" t="inlineStr">
        <is>
          <t>Playwright contra Supabase local (1280 y 390 px); pruebas en tests/e2e/ e informe en docs/verificaciones/2026-09-23-verificacion-1.md. Sin fallas críticas ni altas; una media (F-01: el select «Grado» de /afiliacion se vacía tras un error de validación). 6.3 y P-39 pasan a En curso (falta ga-verificador-responsive). Nueva actividad 2.11 (corregir F-01, peso 1, depende de 2.9) y 6.3 pasa a depender de ella. Pendientes nuevos: P-48 (F-01), P-49 (revisar x-forwarded-for para el límite por IP, ligado a 6.2) y P-50 (confirmar el envío de los correos de afiliación, ligado a 3.8).</t>
        </is>
      </c>
    </row>
    <row r="54">
      <c r="A54" s="8" t="inlineStr">
        <is>
          <t>2026-09-23</t>
        </is>
      </c>
      <c r="B54" s="4" t="inlineStr">
        <is>
          <t>ga-funcionalidad-botones</t>
        </is>
      </c>
      <c r="C54" s="8" t="inlineStr">
        <is>
          <t>2.4, 2.5, 2.6, 2.7, 2.8, 2.9, 2.10, 3.5, 3.6, 3.7, 3.8, 5.4, 6.1, 6.5, 6.8, 6.9; P-15, P-20, P-22 a P-35, P-43 a P-47</t>
        </is>
      </c>
      <c r="D54" s="7" t="inlineStr">
        <is>
          <t>Botones de /, /ingresar, /ingresar/codigo, /afiliacion, /afiliacion/enviada y /cuenta funcionando en local</t>
        </is>
      </c>
      <c r="E54" s="7" t="inlineStr">
        <is>
          <t>Hecho: 2.5–2.10 y 3.5–3.7 (ingreso con código, proxy, Salir, Mis datos, afiliación con límites y honeypot, crédito conectado a /cuenta), contra Supabase local. En curso: 2.4 (plantilla local con {{ .Token }} lista; faltan SMTP y plantilla en producción), 3.8 (correos con Resend listos, falta RESEND_API_KEY), 5.4 (placeholder de /politica-de-datos, falta el texto de la cooperativa), 6.1 (pruebas de zod y /cuenta; faltan las de Server Actions). Dependencias: se quitó 2.4 de 2.5 y 2.9 porque el código funciona en local sin la configuración de producción; en su lugar 6.5 (despliegue) pasa a depender de 2.4, y 6.6/6.7 lo heredan vía 6.5. 3.8 y 4.3 siguen dependiendo de 2.4. Nuevas: 6.8 migración 20260923210000_limite_de_intentos.sql en producción (peso 1) y 6.9 variables en Vercel (peso 1), ambas antes de 6.5. Pendientes nuevos: P-43 (migración), P-44 (Vercel), P-45 (vencimiento 10 min e intervalo ≤ 45 s en Supabase, ligado a 2.4), P-46 (nombres de grados) y P-47 (estado de desembolso) de la cooperativa; 5.3 suma estos dos datos a su bloqueo.</t>
        </is>
      </c>
    </row>
    <row r="55">
      <c r="A55" s="8" t="inlineStr">
        <is>
          <t>2026-09-23</t>
        </is>
      </c>
      <c r="B55" s="4" t="inlineStr">
        <is>
          <t>Claude (sesión principal)</t>
        </is>
      </c>
      <c r="C55" s="8" t="inlineStr">
        <is>
          <t>Todas</t>
        </is>
      </c>
      <c r="D55" s="7" t="inlineStr">
        <is>
          <t>Creación del Excel de avances</t>
        </is>
      </c>
      <c r="E55" s="7" t="inlineStr">
        <is>
          <t>Pendientes desde PENDIENTES.md, plan desde la propuesta (6 fases, 8 semanas) reorganizado en 2 filas con cola infinita y pesos 1–5.</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2026-09-27T21:23:04Z</dcterms:created>
  <dcterms:modified xmlns:dcterms="http://purl.org/dc/terms/" xmlns:xsi="http://www.w3.org/2001/XMLSchema-instance" xsi:type="dcterms:W3CDTF">2026-09-27T21:23:05Z</dcterms:modified>
</cp:coreProperties>
</file>